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<sst xmlns="http://schemas.openxmlformats.org/spreadsheetml/2006/main" count="30" uniqueCount="29">
  <si>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Bank Statement Reconciliation</t>
  </si>
  <si>
    <t xml:space="preserve">Account No:</t>
  </si>
  <si>
    <t xml:space="preserve">XXXXXXX0123</t>
  </si>
  <si>
    <t xml:space="preserve">Statement Date:</t>
  </si>
  <si>
    <t xml:space="preserve">09-Aug-2026</t>
  </si>
  <si>
    <t xml:space="preserve">Opening Balance:</t>
  </si>
  <si>
    <t xml:space="preserve">Statement Closing Balance:</t>
  </si>
  <si>
    <t xml:space="preserve">Date</t>
  </si>
  <si>
    <t xml:space="preserve">Description</t>
  </si>
  <si>
    <t xml:space="preserve">Debit</t>
  </si>
  <si>
    <t xml:space="preserve">Credit</t>
  </si>
  <si>
    <t xml:space="preserve">Flag</t>
  </si>
  <si>
    <t xml:space="preserve">01-Aug-26</t>
  </si>
  <si>
    <t xml:space="preserve">ATM Withdrawal</t>
  </si>
  <si>
    <t xml:space="preserve">03-Aug-26</t>
  </si>
  <si>
    <t xml:space="preserve">Salary Credit</t>
  </si>
  <si>
    <t xml:space="preserve">05-Aug-26</t>
  </si>
  <si>
    <t xml:space="preserve">Loan EMI</t>
  </si>
  <si>
    <t xml:space="preserve">07-Aug-26</t>
  </si>
  <si>
    <t xml:space="preserve">Online Transfer</t>
  </si>
  <si>
    <t xml:space="preserve">09-Aug-26</t>
  </si>
  <si>
    <t xml:space="preserve">Interest Credit</t>
  </si>
  <si>
    <t xml:space="preserve">TOTAL</t>
  </si>
  <si>
    <t xml:space="preserve">Calculated Closing Balance:</t>
  </si>
  <si>
    <t xml:space="preserve">Reconciliation Status:</t>
  </si>
  <si>
    <t xml:space="preserve">High-Value Transactions Flagged:</t>
  </si>
  <si>
    <t xml:space="preserve">Legend:</t>
  </si>
  <si>
    <t xml:space="preserve">Blue text = input cells (edit these with new statement data)</t>
  </si>
  <si>
    <t xml:space="preserve">Black text = formulas (do not overwrite)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</si>
</sst>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4" t="n">
        <v>50000</v>
      </c>
    </row>
    <row r="5" customFormat="false" ht="15" hidden="false" customHeight="false" outlineLevel="0" collapsed="false">
      <c r="A5" s="2" t="s">
        <v>6</v>
      </c>
      <c r="B5" s="4" t="n">
        <v>187750</v>
      </c>
    </row>
    <row r="7" customFormat="false" ht="15" hidden="false" customHeight="false" outlineLevel="0" collapsed="false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</row>
    <row r="8" customFormat="false" ht="15" hidden="false" customHeight="false" outlineLevel="0" collapsed="false">
      <c r="A8" s="6" t="s">
        <v>12</v>
      </c>
      <c r="B8" s="6" t="s">
        <v>13</v>
      </c>
      <c r="C8" s="7" t="n">
        <v>5000</v>
      </c>
      <c r="D8" s="7" t="n">
        <v>0</v>
      </c>
      <c r="E8" s="8" t="str">
        <f aca="false">IF(C8&gt;100000,"High Value - Review Required",IF(AND(C8=0,D8=0),"Invalid Entry","Normal"))</f>
        <v>Normal</v>
      </c>
    </row>
    <row r="9" customFormat="false" ht="15" hidden="false" customHeight="false" outlineLevel="0" collapsed="false">
      <c r="A9" s="6" t="s">
        <v>14</v>
      </c>
      <c r="B9" s="6" t="s">
        <v>15</v>
      </c>
      <c r="C9" s="7" t="n">
        <v>0</v>
      </c>
      <c r="D9" s="7" t="n">
        <v>75000</v>
      </c>
      <c r="E9" s="8" t="str">
        <f aca="false">IF(C9&gt;100000,"High Value - Review Required",IF(AND(C9=0,D9=0),"Invalid Entry","Normal"))</f>
        <v>Normal</v>
      </c>
    </row>
    <row r="10" customFormat="false" ht="15" hidden="false" customHeight="false" outlineLevel="0" collapsed="false">
      <c r="A10" s="6" t="s">
        <v>16</v>
      </c>
      <c r="B10" s="6" t="s">
        <v>17</v>
      </c>
      <c r="C10" s="7" t="n">
        <v>12500</v>
      </c>
      <c r="D10" s="7" t="n">
        <v>0</v>
      </c>
      <c r="E10" s="8" t="str">
        <f aca="false">IF(C10&gt;100000,"High Value - Review Required",IF(AND(C10=0,D10=0),"Invalid Entry","Normal"))</f>
        <v>Normal</v>
      </c>
    </row>
    <row r="11" customFormat="false" ht="15" hidden="false" customHeight="false" outlineLevel="0" collapsed="false">
      <c r="A11" s="6" t="s">
        <v>18</v>
      </c>
      <c r="B11" s="6" t="s">
        <v>19</v>
      </c>
      <c r="C11" s="7" t="n">
        <v>120000</v>
      </c>
      <c r="D11" s="7" t="n">
        <v>0</v>
      </c>
      <c r="E11" s="8" t="str">
        <f aca="false">IF(C11&gt;100000,"High Value - Review Required",IF(AND(C11=0,D11=0),"Invalid Entry","Normal"))</f>
        <v>High Value - Review Required</v>
      </c>
    </row>
    <row r="12" customFormat="false" ht="15" hidden="false" customHeight="false" outlineLevel="0" collapsed="false">
      <c r="A12" s="6" t="s">
        <v>20</v>
      </c>
      <c r="B12" s="6" t="s">
        <v>21</v>
      </c>
      <c r="C12" s="7" t="n">
        <v>0</v>
      </c>
      <c r="D12" s="7" t="n">
        <v>250</v>
      </c>
      <c r="E12" s="8" t="str">
        <f aca="false">IF(C12&gt;100000,"High Value - Review Required",IF(AND(C12=0,D12=0),"Invalid Entry","Normal"))</f>
        <v>Normal</v>
      </c>
    </row>
    <row r="13" customFormat="false" ht="15" hidden="false" customHeight="false" outlineLevel="0" collapsed="false">
      <c r="A13" s="9"/>
      <c r="B13" s="10" t="s">
        <v>22</v>
      </c>
      <c r="C13" s="11" t="n">
        <f aca="false">SUM(C8:C12)</f>
        <v>137500</v>
      </c>
      <c r="D13" s="11" t="n">
        <f aca="false">SUM(D8:D12)</f>
        <v>75250</v>
      </c>
      <c r="E13" s="9"/>
    </row>
    <row r="15" customFormat="false" ht="15" hidden="false" customHeight="false" outlineLevel="0" collapsed="false">
      <c r="A15" s="2" t="s">
        <v>23</v>
      </c>
      <c r="B15" s="12" t="n">
        <f aca="false">B4+D13-C13</f>
        <v>-12250</v>
      </c>
    </row>
    <row r="16" customFormat="false" ht="15" hidden="false" customHeight="false" outlineLevel="0" collapsed="false">
      <c r="A16" s="2" t="s">
        <v>6</v>
      </c>
      <c r="B16" s="12" t="n">
        <f aca="false">B5</f>
        <v>187750</v>
      </c>
    </row>
    <row r="17" customFormat="false" ht="15" hidden="false" customHeight="false" outlineLevel="0" collapsed="false">
      <c r="A17" s="2" t="s">
        <v>24</v>
      </c>
      <c r="B17" s="13" t="str">
        <f aca="false">IF(ROUND(B15-B16,2)=0,"MATCHED","MISMATCH DETECTED")</f>
        <v>MISMATCH DETECTED</v>
      </c>
    </row>
    <row r="18" customFormat="false" ht="15" hidden="false" customHeight="false" outlineLevel="0" collapsed="false">
      <c r="A18" s="2" t="s">
        <v>25</v>
      </c>
      <c r="B18" s="14" t="n">
        <f aca="false">COUNTIF(E8:E12,"High Value - Review Required")</f>
        <v>1</v>
      </c>
    </row>
    <row r="20" customFormat="false" ht="15" hidden="false" customHeight="false" outlineLevel="0" collapsed="false">
      <c r="A20" s="2" t="s">
        <v>26</v>
      </c>
    </row>
    <row r="21" customFormat="false" ht="15" hidden="false" customHeight="false" outlineLevel="0" collapsed="false">
      <c r="A21" s="15" t="s">
        <v>27</v>
      </c>
    </row>
    <row r="22" customFormat="false" ht="15" hidden="false" customHeight="false" outlineLevel="0" collapsed="false">
      <c r="A22" s="1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2026-08-10T07:13:12Z</dcterms:created>
  <dc:creator>openpyxl</dc:creator>
  <dc:description/>
  <dc:language>en-US</dc:language>
  <cp:lastModifiedBy/>
  <dcterms:modified xsi:type="dcterms:W3CDTF">2026-08-10T07:13:12Z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