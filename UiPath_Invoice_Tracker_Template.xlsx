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unaq.M\Documents\UiPath\pdfToExcel\Output\"/>
    </mc:Choice>
  </mc:AlternateContent>
  <xr:revisionPtr revIDLastSave="0" documentId="13_ncr:1_{4FA65951-1EDF-4CBF-9DE0-6F3F8FE3D52A}" xr6:coauthVersionLast="47" xr6:coauthVersionMax="47" xr10:uidLastSave="{00000000-0000-0000-0000-000000000000}"/>
  <bookViews>
    <workbookView minimized="1" xWindow="345" yWindow="4185" windowWidth="21600" windowHeight="11295" xr2:uid="{00000000-000D-0000-FFFF-FFFF00000000}"/>
  </bookViews>
  <sheets>
    <sheet name="Invoice Register" sheetId="1" r:id="rId1"/>
    <sheet name="Billing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<sst xmlns="http://schemas.openxmlformats.org/spreadsheetml/2006/main" count="707" uniqueCount="309">
  <si>
    <t>INVOICE PROCESSING TRACKER</t>
  </si>
  <si>
    <t>TRAINING SUMMARY TASK</t>
  </si>
  <si>
    <t>REPORT INFORMATION</t>
  </si>
  <si>
    <t>FX Rate USD → OMR</t>
  </si>
  <si>
    <t>Report Date</t>
  </si>
  <si>
    <t>Customer Name</t>
  </si>
  <si>
    <t>Batch ID</t>
  </si>
  <si>
    <t>BATCH-260811-01</t>
  </si>
  <si>
    <t>Prepared By</t>
  </si>
  <si>
    <t>Operations Team</t>
  </si>
  <si>
    <t>Row Labels</t>
  </si>
  <si>
    <t>Average of Total USD</t>
  </si>
  <si>
    <t>Both / 2</t>
  </si>
  <si>
    <t>Final Avg USD</t>
  </si>
  <si>
    <t>OMR</t>
  </si>
  <si>
    <t>ISSR</t>
  </si>
  <si>
    <t>ACQR</t>
  </si>
  <si>
    <t>Invoice No.</t>
  </si>
  <si>
    <t>Invoice Date</t>
  </si>
  <si>
    <t>Description</t>
  </si>
  <si>
    <t>Amount (OMR)</t>
  </si>
  <si>
    <t>Status</t>
  </si>
  <si>
    <t>Department</t>
  </si>
  <si>
    <t>Both</t>
  </si>
  <si>
    <t>INV-2026-1001</t>
  </si>
  <si>
    <t>Maintenance Service</t>
  </si>
  <si>
    <t>Processed</t>
  </si>
  <si>
    <t>Operations</t>
  </si>
  <si>
    <t>Combined Result</t>
  </si>
  <si>
    <t>INV-2026-1007</t>
  </si>
  <si>
    <t>Office Supplies</t>
  </si>
  <si>
    <t>Admin</t>
  </si>
  <si>
    <t>INV-2026-1015</t>
  </si>
  <si>
    <t>Software Support</t>
  </si>
  <si>
    <t>Pending</t>
  </si>
  <si>
    <t>IT</t>
  </si>
  <si>
    <t>INV-2026-1022</t>
  </si>
  <si>
    <t>Courier Charges</t>
  </si>
  <si>
    <t>INV-2026-1039</t>
  </si>
  <si>
    <t>Equipment Rental</t>
  </si>
  <si>
    <t>Facilities</t>
  </si>
  <si>
    <t>Total Amount</t>
  </si>
  <si>
    <t>Billing Period</t>
  </si>
  <si>
    <t>Invoice Account</t>
  </si>
  <si>
    <t>Name</t>
  </si>
  <si>
    <t>Invoice ID</t>
  </si>
  <si>
    <t>Sub Invoice</t>
  </si>
  <si>
    <t>Current or Previous</t>
  </si>
  <si>
    <t>Entity Type</t>
  </si>
  <si>
    <t>Entity ID</t>
  </si>
  <si>
    <t>Mapping</t>
  </si>
  <si>
    <t>Entity Name</t>
  </si>
  <si>
    <t>Settlement ID</t>
  </si>
  <si>
    <t>Future Use</t>
  </si>
  <si>
    <t>NTWK</t>
  </si>
  <si>
    <t>Billing Line</t>
  </si>
  <si>
    <t>Type</t>
  </si>
  <si>
    <t>Rate Type</t>
  </si>
  <si>
    <t>Units</t>
  </si>
  <si>
    <t>Rate Cur</t>
  </si>
  <si>
    <t>Rate</t>
  </si>
  <si>
    <t>Foreign Exchange Rate</t>
  </si>
  <si>
    <t>Billing Currency</t>
  </si>
  <si>
    <t>Total</t>
  </si>
  <si>
    <t>Tax Type</t>
  </si>
  <si>
    <t>Tax</t>
  </si>
  <si>
    <t>Tax Rate</t>
  </si>
  <si>
    <t>Tax Currency</t>
  </si>
  <si>
    <t>Taxable Amount (Tax Currency)</t>
  </si>
  <si>
    <t>Tax (Tax Currency)</t>
  </si>
  <si>
    <t>2026-07</t>
  </si>
  <si>
    <t>ACC-1001</t>
  </si>
  <si>
    <t>Customer ACQR-1</t>
  </si>
  <si>
    <t>INV-2026001</t>
  </si>
  <si>
    <t>SUB-001</t>
  </si>
  <si>
    <t>Current</t>
  </si>
  <si>
    <t>Merchant</t>
  </si>
  <si>
    <t>ENT-2001</t>
  </si>
  <si>
    <t>MAP-2</t>
  </si>
  <si>
    <t>Entity ACQR-1</t>
  </si>
  <si>
    <t>SET-5001</t>
  </si>
  <si>
    <t>Service Charge</t>
  </si>
  <si>
    <t>No</t>
  </si>
  <si>
    <t>MC</t>
  </si>
  <si>
    <t>BL-2</t>
  </si>
  <si>
    <t>Fixed</t>
  </si>
  <si>
    <t>USD</t>
  </si>
  <si>
    <t>VAT</t>
  </si>
  <si>
    <t>ACC-1002</t>
  </si>
  <si>
    <t>Customer ACQR-2</t>
  </si>
  <si>
    <t>INV-2026002</t>
  </si>
  <si>
    <t>SUB-002</t>
  </si>
  <si>
    <t>Corporate</t>
  </si>
  <si>
    <t>ENT-2002</t>
  </si>
  <si>
    <t>MAP-3</t>
  </si>
  <si>
    <t>Entity ACQR-2</t>
  </si>
  <si>
    <t>SET-5002</t>
  </si>
  <si>
    <t>Processing Fee</t>
  </si>
  <si>
    <t>LOCAL</t>
  </si>
  <si>
    <t>BL-3</t>
  </si>
  <si>
    <t>Variable</t>
  </si>
  <si>
    <t>ACC-1003</t>
  </si>
  <si>
    <t>Customer ACQR-3</t>
  </si>
  <si>
    <t>INV-2026003</t>
  </si>
  <si>
    <t>SUB-003</t>
  </si>
  <si>
    <t>ENT-2003</t>
  </si>
  <si>
    <t>MAP-4</t>
  </si>
  <si>
    <t>Entity ACQR-3</t>
  </si>
  <si>
    <t>SET-5003</t>
  </si>
  <si>
    <t>Settlement Fee</t>
  </si>
  <si>
    <t>VISA</t>
  </si>
  <si>
    <t>BL-4</t>
  </si>
  <si>
    <t>ACC-1004</t>
  </si>
  <si>
    <t>Customer ACQR-4</t>
  </si>
  <si>
    <t>INV-2026004</t>
  </si>
  <si>
    <t>SUB-004</t>
  </si>
  <si>
    <t>ENT-2004</t>
  </si>
  <si>
    <t>MAP-1</t>
  </si>
  <si>
    <t>Entity ACQR-4</t>
  </si>
  <si>
    <t>SET-5004</t>
  </si>
  <si>
    <t>Network Fee</t>
  </si>
  <si>
    <t>BL-5</t>
  </si>
  <si>
    <t>ACC-1005</t>
  </si>
  <si>
    <t>Customer ACQR-5</t>
  </si>
  <si>
    <t>INV-2026005</t>
  </si>
  <si>
    <t>SUB-005</t>
  </si>
  <si>
    <t>ENT-2005</t>
  </si>
  <si>
    <t>Entity ACQR-5</t>
  </si>
  <si>
    <t>SET-5005</t>
  </si>
  <si>
    <t>BL-6</t>
  </si>
  <si>
    <t>ACC-1006</t>
  </si>
  <si>
    <t>Customer ACQR-6</t>
  </si>
  <si>
    <t>INV-2026006</t>
  </si>
  <si>
    <t>SUB-006</t>
  </si>
  <si>
    <t>ENT-2006</t>
  </si>
  <si>
    <t>Entity ACQR-6</t>
  </si>
  <si>
    <t>SET-5006</t>
  </si>
  <si>
    <t>BL-1</t>
  </si>
  <si>
    <t>ACC-1007</t>
  </si>
  <si>
    <t>Customer ISSR-1</t>
  </si>
  <si>
    <t>INV-2026007</t>
  </si>
  <si>
    <t>SUB-007</t>
  </si>
  <si>
    <t>ENT-2007</t>
  </si>
  <si>
    <t>Entity ISSR-1</t>
  </si>
  <si>
    <t>SET-5007</t>
  </si>
  <si>
    <t>ACC-1008</t>
  </si>
  <si>
    <t>Customer ISSR-2</t>
  </si>
  <si>
    <t>INV-2026008</t>
  </si>
  <si>
    <t>SUB-008</t>
  </si>
  <si>
    <t>ENT-2008</t>
  </si>
  <si>
    <t>Entity ISSR-2</t>
  </si>
  <si>
    <t>SET-5008</t>
  </si>
  <si>
    <t>ACC-1009</t>
  </si>
  <si>
    <t>Customer ISSR-3</t>
  </si>
  <si>
    <t>INV-2026009</t>
  </si>
  <si>
    <t>SUB-009</t>
  </si>
  <si>
    <t>ENT-2009</t>
  </si>
  <si>
    <t>Entity ISSR-3</t>
  </si>
  <si>
    <t>SET-5009</t>
  </si>
  <si>
    <t>ACC-1010</t>
  </si>
  <si>
    <t>Customer ISSR-4</t>
  </si>
  <si>
    <t>INV-2026010</t>
  </si>
  <si>
    <t>SUB-010</t>
  </si>
  <si>
    <t>ENT-2010</t>
  </si>
  <si>
    <t>Entity ISSR-4</t>
  </si>
  <si>
    <t>SET-5010</t>
  </si>
  <si>
    <t>ACC-1011</t>
  </si>
  <si>
    <t>Customer ISSR-5</t>
  </si>
  <si>
    <t>INV-2026011</t>
  </si>
  <si>
    <t>SUB-011</t>
  </si>
  <si>
    <t>ENT-2011</t>
  </si>
  <si>
    <t>Entity ISSR-5</t>
  </si>
  <si>
    <t>SET-5011</t>
  </si>
  <si>
    <t>ACC-1012</t>
  </si>
  <si>
    <t>Customer ISSR-6</t>
  </si>
  <si>
    <t>INV-2026012</t>
  </si>
  <si>
    <t>SUB-012</t>
  </si>
  <si>
    <t>ENT-2012</t>
  </si>
  <si>
    <t>Entity ISSR-6</t>
  </si>
  <si>
    <t>SET-5012</t>
  </si>
  <si>
    <t>ACC-1013</t>
  </si>
  <si>
    <t>Customer Both-1</t>
  </si>
  <si>
    <t>INV-2026013</t>
  </si>
  <si>
    <t>SUB-013</t>
  </si>
  <si>
    <t>ENT-2013</t>
  </si>
  <si>
    <t>Entity Both-1</t>
  </si>
  <si>
    <t>SET-5013</t>
  </si>
  <si>
    <t>ACC-1014</t>
  </si>
  <si>
    <t>Customer Both-2</t>
  </si>
  <si>
    <t>INV-2026014</t>
  </si>
  <si>
    <t>SUB-014</t>
  </si>
  <si>
    <t>ENT-2014</t>
  </si>
  <si>
    <t>Entity Both-2</t>
  </si>
  <si>
    <t>SET-5014</t>
  </si>
  <si>
    <t>ACC-1015</t>
  </si>
  <si>
    <t>Customer Both-3</t>
  </si>
  <si>
    <t>INV-2026015</t>
  </si>
  <si>
    <t>SUB-015</t>
  </si>
  <si>
    <t>ENT-2015</t>
  </si>
  <si>
    <t>Entity Both-3</t>
  </si>
  <si>
    <t>SET-5015</t>
  </si>
  <si>
    <t>ACC-1016</t>
  </si>
  <si>
    <t>Customer Both-4</t>
  </si>
  <si>
    <t>INV-2026016</t>
  </si>
  <si>
    <t>SUB-016</t>
  </si>
  <si>
    <t>ENT-2016</t>
  </si>
  <si>
    <t>Entity Both-4</t>
  </si>
  <si>
    <t>SET-5016</t>
  </si>
  <si>
    <t>ACC-1017</t>
  </si>
  <si>
    <t>Customer Both-5</t>
  </si>
  <si>
    <t>INV-2026017</t>
  </si>
  <si>
    <t>SUB-017</t>
  </si>
  <si>
    <t>ENT-2017</t>
  </si>
  <si>
    <t>Entity Both-5</t>
  </si>
  <si>
    <t>SET-5017</t>
  </si>
  <si>
    <t>ACC-1018</t>
  </si>
  <si>
    <t>Customer Both-6</t>
  </si>
  <si>
    <t>INV-2026018</t>
  </si>
  <si>
    <t>SUB-018</t>
  </si>
  <si>
    <t>ENT-2018</t>
  </si>
  <si>
    <t>Entity Both-6</t>
  </si>
  <si>
    <t>SET-5018</t>
  </si>
  <si>
    <t>ACC-1019</t>
  </si>
  <si>
    <t>Customer Extra-1</t>
  </si>
  <si>
    <t>INV-2026019</t>
  </si>
  <si>
    <t>SUB-019</t>
  </si>
  <si>
    <t>Previous</t>
  </si>
  <si>
    <t>ENT-2019</t>
  </si>
  <si>
    <t>Entity Extra-1</t>
  </si>
  <si>
    <t>SET-5019</t>
  </si>
  <si>
    <t>ACC-1020</t>
  </si>
  <si>
    <t>Customer Extra-2</t>
  </si>
  <si>
    <t>INV-2026020</t>
  </si>
  <si>
    <t>SUB-020</t>
  </si>
  <si>
    <t>ENT-2020</t>
  </si>
  <si>
    <t>Entity Extra-2</t>
  </si>
  <si>
    <t>SET-5020</t>
  </si>
  <si>
    <t>2026-08</t>
  </si>
  <si>
    <t>ACC-1021</t>
  </si>
  <si>
    <t>Customer Extra-3</t>
  </si>
  <si>
    <t>INV-2026021</t>
  </si>
  <si>
    <t>SUB-021</t>
  </si>
  <si>
    <t>ENT-2021</t>
  </si>
  <si>
    <t>Entity Extra-3</t>
  </si>
  <si>
    <t>SET-5021</t>
  </si>
  <si>
    <t>ACC-1022</t>
  </si>
  <si>
    <t>Customer Extra-4</t>
  </si>
  <si>
    <t>INV-2026022</t>
  </si>
  <si>
    <t>SUB-022</t>
  </si>
  <si>
    <t>ENT-2022</t>
  </si>
  <si>
    <t>Entity Extra-4</t>
  </si>
  <si>
    <t>SET-5022</t>
  </si>
  <si>
    <t>ACC-1023</t>
  </si>
  <si>
    <t>Customer Extra-5</t>
  </si>
  <si>
    <t>INV-2026023</t>
  </si>
  <si>
    <t>SUB-023</t>
  </si>
  <si>
    <t>ENT-2023</t>
  </si>
  <si>
    <t>Entity Extra-5</t>
  </si>
  <si>
    <t>SET-5023</t>
  </si>
  <si>
    <t>ACC-1024</t>
  </si>
  <si>
    <t>Customer Extra-6</t>
  </si>
  <si>
    <t>INV-2026024</t>
  </si>
  <si>
    <t>SUB-024</t>
  </si>
  <si>
    <t>ENT-2024</t>
  </si>
  <si>
    <t>Entity Extra-6</t>
  </si>
  <si>
    <t>SET-5024</t>
  </si>
  <si>
    <t>ACC-1025</t>
  </si>
  <si>
    <t>Customer Extra-7</t>
  </si>
  <si>
    <t>INV-2026025</t>
  </si>
  <si>
    <t>SUB-025</t>
  </si>
  <si>
    <t>ENT-2025</t>
  </si>
  <si>
    <t>Entity Extra-7</t>
  </si>
  <si>
    <t>SET-5025</t>
  </si>
  <si>
    <t>ACC-1026</t>
  </si>
  <si>
    <t>Customer Extra-8</t>
  </si>
  <si>
    <t>INV-2026026</t>
  </si>
  <si>
    <t>SUB-026</t>
  </si>
  <si>
    <t>ENT-2026</t>
  </si>
  <si>
    <t>Entity Extra-8</t>
  </si>
  <si>
    <t>SET-5026</t>
  </si>
  <si>
    <t>ACC-1027</t>
  </si>
  <si>
    <t>Customer Extra-9</t>
  </si>
  <si>
    <t>INV-2026027</t>
  </si>
  <si>
    <t>SUB-027</t>
  </si>
  <si>
    <t>ENT-2027</t>
  </si>
  <si>
    <t>Entity Extra-9</t>
  </si>
  <si>
    <t>SET-5027</t>
  </si>
  <si>
    <t>ACC-1028</t>
  </si>
  <si>
    <t>Customer Extra-10</t>
  </si>
  <si>
    <t>INV-2026028</t>
  </si>
  <si>
    <t>SUB-028</t>
  </si>
  <si>
    <t>ENT-2028</t>
  </si>
  <si>
    <t>Entity Extra-10</t>
  </si>
  <si>
    <t>SET-5028</t>
  </si>
  <si>
    <t>ACC-1029</t>
  </si>
  <si>
    <t>Customer Extra-11</t>
  </si>
  <si>
    <t>INV-2026029</t>
  </si>
  <si>
    <t>SUB-029</t>
  </si>
  <si>
    <t>ENT-2029</t>
  </si>
  <si>
    <t>Entity Extra-11</t>
  </si>
  <si>
    <t>SET-5029</t>
  </si>
  <si>
    <t>ACC-1030</t>
  </si>
  <si>
    <t>Customer Extra-12</t>
  </si>
  <si>
    <t>INV-2026030</t>
  </si>
  <si>
    <t>SUB-030</t>
  </si>
  <si>
    <t>ENT-2030</t>
  </si>
  <si>
    <t>Entity Extra-12</t>
  </si>
  <si>
    <t>SET-5030</t>
  </si>
  <si>
    <t>Al Noor Trading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</si>
</sst>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00"/>
    <numFmt numFmtId="166" formatCode="#,##0.00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color rgb="FF1F1F1F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1"/>
      <color rgb="FF274E13"/>
      <name val="Carlito"/>
    </font>
    <font>
      <b/>
      <sz val="12"/>
      <color rgb="FFFFFFFF"/>
      <name val="Carlito"/>
    </font>
    <font>
      <b/>
      <sz val="11"/>
      <color rgb="FF000000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7FBFE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vertical="center" wrapText="1"/>
    </xf>
    <xf numFmtId="164" fontId="3" fillId="5" borderId="0" xfId="0" applyNumberFormat="1" applyFont="1" applyFill="1" applyBorder="1" applyAlignment="1">
      <alignment wrapText="1"/>
    </xf>
    <xf numFmtId="0" fontId="4" fillId="6" borderId="0" xfId="0" applyNumberFormat="1" applyFont="1" applyFill="1" applyBorder="1" applyAlignment="1">
      <alignment horizontal="left" vertical="center" wrapText="1"/>
    </xf>
    <xf numFmtId="0" fontId="3" fillId="5" borderId="0" xfId="0" applyNumberFormat="1" applyFont="1" applyFill="1" applyBorder="1" applyAlignment="1">
      <alignment wrapText="1"/>
    </xf>
    <xf numFmtId="0" fontId="5" fillId="7" borderId="0" xfId="0" applyNumberFormat="1" applyFont="1" applyFill="1" applyBorder="1" applyAlignment="1">
      <alignment horizontal="center" vertical="center" wrapText="1"/>
    </xf>
    <xf numFmtId="0" fontId="0" fillId="8" borderId="0" xfId="0" applyNumberFormat="1" applyFont="1" applyFill="1" applyBorder="1" applyAlignment="1">
      <alignment wrapText="1"/>
    </xf>
    <xf numFmtId="164" fontId="0" fillId="8" borderId="0" xfId="0" applyNumberFormat="1" applyFont="1" applyFill="1" applyBorder="1" applyAlignment="1">
      <alignment wrapText="1"/>
    </xf>
    <xf numFmtId="165" fontId="0" fillId="8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6" fillId="9" borderId="0" xfId="0" applyNumberFormat="1" applyFont="1" applyFill="1" applyBorder="1" applyAlignment="1">
      <alignment horizontal="right" wrapText="1"/>
    </xf>
    <xf numFmtId="165" fontId="6" fillId="9" borderId="0" xfId="0" applyNumberFormat="1" applyFont="1" applyFill="1" applyBorder="1" applyAlignment="1">
      <alignment horizontal="right" wrapText="1"/>
    </xf>
    <xf numFmtId="0" fontId="2" fillId="11" borderId="0" xfId="0" applyNumberFormat="1" applyFont="1" applyFill="1" applyBorder="1" applyAlignment="1">
      <alignment horizontal="center" vertical="center"/>
    </xf>
    <xf numFmtId="165" fontId="2" fillId="11" borderId="0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 wrapText="1"/>
    </xf>
    <xf numFmtId="0" fontId="5" fillId="12" borderId="2" xfId="0" applyNumberFormat="1" applyFont="1" applyFill="1" applyBorder="1" applyAlignment="1">
      <alignment horizontal="center" vertical="center" wrapText="1"/>
    </xf>
    <xf numFmtId="0" fontId="5" fillId="12" borderId="3" xfId="0" applyNumberFormat="1" applyFont="1" applyFill="1" applyBorder="1" applyAlignment="1">
      <alignment horizontal="center" vertical="center" wrapText="1"/>
    </xf>
    <xf numFmtId="0" fontId="8" fillId="13" borderId="4" xfId="0" applyNumberFormat="1" applyFont="1" applyFill="1" applyBorder="1" applyAlignment="1">
      <alignment horizontal="center" vertical="center"/>
    </xf>
    <xf numFmtId="165" fontId="8" fillId="14" borderId="0" xfId="0" applyNumberFormat="1" applyFont="1" applyFill="1" applyAlignment="1">
      <alignment horizontal="center" vertical="center"/>
    </xf>
    <xf numFmtId="165" fontId="8" fillId="14" borderId="5" xfId="0" applyNumberFormat="1" applyFont="1" applyFill="1" applyBorder="1" applyAlignment="1">
      <alignment horizontal="center" vertical="center"/>
    </xf>
    <xf numFmtId="0" fontId="8" fillId="13" borderId="6" xfId="0" applyNumberFormat="1" applyFont="1" applyFill="1" applyBorder="1" applyAlignment="1">
      <alignment horizontal="center" vertical="center"/>
    </xf>
    <xf numFmtId="165" fontId="8" fillId="14" borderId="7" xfId="0" applyNumberFormat="1" applyFont="1" applyFill="1" applyBorder="1" applyAlignment="1">
      <alignment horizontal="center" vertical="center"/>
    </xf>
    <xf numFmtId="165" fontId="8" fillId="14" borderId="8" xfId="0" applyNumberFormat="1" applyFont="1" applyFill="1" applyBorder="1" applyAlignment="1">
      <alignment horizontal="center" vertical="center"/>
    </xf>
    <xf numFmtId="0" fontId="5" fillId="15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7" fillId="1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761D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38761D"/>
      </font>
      <fill>
        <patternFill>
          <bgColor rgb="FFE2F0D9"/>
        </patternFill>
      </fill>
    </dxf>
    <dxf>
      <font>
        <b/>
        <color rgb="FFB91C1C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llingDataTable" displayName="BillingDataTable" ref="A1:AD31" totalsRowShown="0">
  <autoFilter ref="A1:AD31" xr:uid="{00000000-000C-0000-FFFF-FFFF00000000}"/>
  <tableColumns count="30">
    <tableColumn id="1" xr3:uid="{00000000-0010-0000-0000-000001000000}" name="Billing Period"/>
    <tableColumn id="2" xr3:uid="{00000000-0010-0000-0000-000002000000}" name="Invoice Date"/>
    <tableColumn id="3" xr3:uid="{00000000-0010-0000-0000-000003000000}" name="Invoice Account"/>
    <tableColumn id="4" xr3:uid="{00000000-0010-0000-0000-000004000000}" name="Name"/>
    <tableColumn id="5" xr3:uid="{00000000-0010-0000-0000-000005000000}" name="Invoice ID"/>
    <tableColumn id="6" xr3:uid="{00000000-0010-0000-0000-000006000000}" name="Sub Invoice"/>
    <tableColumn id="7" xr3:uid="{00000000-0010-0000-0000-000007000000}" name="Current or Previous"/>
    <tableColumn id="8" xr3:uid="{00000000-0010-0000-0000-000008000000}" name="Entity Type"/>
    <tableColumn id="9" xr3:uid="{00000000-0010-0000-0000-000009000000}" name="Entity ID"/>
    <tableColumn id="10" xr3:uid="{00000000-0010-0000-0000-00000A000000}" name="Mapping"/>
    <tableColumn id="11" xr3:uid="{00000000-0010-0000-0000-00000B000000}" name="Entity Name"/>
    <tableColumn id="12" xr3:uid="{00000000-0010-0000-0000-00000C000000}" name="Settlement ID"/>
    <tableColumn id="13" xr3:uid="{00000000-0010-0000-0000-00000D000000}" name="Description"/>
    <tableColumn id="14" xr3:uid="{00000000-0010-0000-0000-00000E000000}" name="Future Use"/>
    <tableColumn id="15" xr3:uid="{00000000-0010-0000-0000-00000F000000}" name="NTWK"/>
    <tableColumn id="16" xr3:uid="{00000000-0010-0000-0000-000010000000}" name="Billing Line"/>
    <tableColumn id="17" xr3:uid="{00000000-0010-0000-0000-000011000000}" name="Type"/>
    <tableColumn id="18" xr3:uid="{00000000-0010-0000-0000-000012000000}" name="Rate Type"/>
    <tableColumn id="19" xr3:uid="{00000000-0010-0000-0000-000013000000}" name="Units"/>
    <tableColumn id="20" xr3:uid="{00000000-0010-0000-0000-000014000000}" name="Rate Cur"/>
    <tableColumn id="21" xr3:uid="{00000000-0010-0000-0000-000015000000}" name="Rate"/>
    <tableColumn id="22" xr3:uid="{00000000-0010-0000-0000-000016000000}" name="Foreign Exchange Rate"/>
    <tableColumn id="23" xr3:uid="{00000000-0010-0000-0000-000017000000}" name="Billing Currency"/>
    <tableColumn id="24" xr3:uid="{00000000-0010-0000-0000-000018000000}" name="Total"/>
    <tableColumn id="25" xr3:uid="{00000000-0010-0000-0000-000019000000}" name="Tax Type"/>
    <tableColumn id="26" xr3:uid="{00000000-0010-0000-0000-00001A000000}" name="Tax"/>
    <tableColumn id="27" xr3:uid="{00000000-0010-0000-0000-00001B000000}" name="Tax Rate"/>
    <tableColumn id="28" xr3:uid="{00000000-0010-0000-0000-00001C000000}" name="Tax Currency"/>
    <tableColumn id="29" xr3:uid="{00000000-0010-0000-0000-00001D000000}" name="Taxable Amount (Tax Currency)"/>
    <tableColumn id="30" xr3:uid="{00000000-0010-0000-0000-00001E000000}" name="Tax (Tax Currenc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5"/>
  <sheetViews>
    <sheetView tabSelected="1" workbookViewId="0">
      <selection activeCell="E4" sqref="E4"/>
    </sheetView>
  </sheetViews>
  <sheetFormatPr defaultRowHeight="14.25"/>
  <cols>
    <col min="1" max="1" width="19" customWidth="1"/>
    <col min="2" max="2" width="16" customWidth="1"/>
    <col min="3" max="3" width="26" customWidth="1"/>
    <col min="4" max="4" width="16" customWidth="1"/>
    <col min="5" max="6" width="18" customWidth="1"/>
    <col min="8" max="8" width="19" customWidth="1"/>
    <col min="9" max="9" width="22" customWidth="1"/>
    <col min="10" max="10" width="14" customWidth="1"/>
    <col min="11" max="11" width="18" customWidth="1"/>
    <col min="12" max="12" width="14" customWidth="1"/>
  </cols>
  <sheetData>
    <row r="1" spans="1:12" ht="30" customHeight="1">
      <c r="A1" s="28" t="s">
        <v>0</v>
      </c>
      <c r="B1" s="28"/>
      <c r="C1" s="28"/>
      <c r="D1" s="28"/>
      <c r="E1" s="28"/>
      <c r="F1" s="28"/>
    </row>
    <row r="2" spans="1:12" ht="15.75">
      <c r="A2" s="1"/>
      <c r="B2" s="1"/>
      <c r="C2" s="1"/>
      <c r="D2" s="1"/>
      <c r="E2" s="1"/>
      <c r="F2" s="1"/>
      <c r="H2" s="30" t="s">
        <v>1</v>
      </c>
      <c r="I2" s="30"/>
      <c r="J2" s="30"/>
      <c r="K2" s="30"/>
    </row>
    <row r="3" spans="1:12" ht="21.95" customHeight="1">
      <c r="A3" s="29" t="s">
        <v>2</v>
      </c>
      <c r="B3" s="29"/>
      <c r="C3" s="29"/>
      <c r="D3" s="29"/>
      <c r="E3" s="29"/>
      <c r="F3" s="29"/>
      <c r="H3" s="14" t="s">
        <v>3</v>
      </c>
      <c r="I3" s="15">
        <v>0.38500000000000001</v>
      </c>
    </row>
    <row r="4" spans="1:12" ht="30">
      <c r="A4" s="2" t="s">
        <v>4</v>
      </c>
      <c r="B4" s="3">
        <v>46245</v>
      </c>
      <c r="C4" s="1"/>
      <c r="D4" s="2" t="s">
        <v>5</v>
      </c>
      <c r="E4" s="4" t="s">
        <v>308</v>
      </c>
      <c r="F4" s="1"/>
    </row>
    <row r="5" spans="1:12" ht="36" customHeight="1">
      <c r="A5" s="2" t="s">
        <v>6</v>
      </c>
      <c r="B5" s="5" t="s">
        <v>7</v>
      </c>
      <c r="C5" s="1"/>
      <c r="D5" s="2" t="s">
        <v>8</v>
      </c>
      <c r="E5" s="5" t="s">
        <v>9</v>
      </c>
      <c r="F5" s="1"/>
      <c r="H5" s="16" t="s">
        <v>10</v>
      </c>
      <c r="I5" s="17" t="s">
        <v>11</v>
      </c>
      <c r="J5" s="17" t="s">
        <v>12</v>
      </c>
      <c r="K5" s="17" t="s">
        <v>13</v>
      </c>
      <c r="L5" s="18" t="s">
        <v>14</v>
      </c>
    </row>
    <row r="6" spans="1:12" ht="24" customHeight="1">
      <c r="A6" s="1"/>
      <c r="B6" s="1"/>
      <c r="C6" s="1"/>
      <c r="D6" s="1"/>
      <c r="E6" s="1"/>
      <c r="F6" s="1"/>
      <c r="H6" s="19" t="s">
        <v>15</v>
      </c>
      <c r="I6" s="20"/>
      <c r="J6" s="20"/>
      <c r="K6" s="20"/>
      <c r="L6" s="21"/>
    </row>
    <row r="7" spans="1:12" ht="24" customHeight="1">
      <c r="A7" s="1"/>
      <c r="B7" s="1"/>
      <c r="C7" s="1"/>
      <c r="D7" s="1"/>
      <c r="E7" s="1"/>
      <c r="F7" s="1"/>
      <c r="H7" s="19" t="s">
        <v>16</v>
      </c>
      <c r="I7" s="20"/>
      <c r="J7" s="20"/>
      <c r="K7" s="20"/>
      <c r="L7" s="21"/>
    </row>
    <row r="8" spans="1:12" ht="24" customHeight="1">
      <c r="A8" s="6" t="s">
        <v>17</v>
      </c>
      <c r="B8" s="6" t="s">
        <v>18</v>
      </c>
      <c r="C8" s="6" t="s">
        <v>19</v>
      </c>
      <c r="D8" s="6" t="s">
        <v>20</v>
      </c>
      <c r="E8" s="6" t="s">
        <v>21</v>
      </c>
      <c r="F8" s="6" t="s">
        <v>22</v>
      </c>
      <c r="H8" s="19" t="s">
        <v>23</v>
      </c>
      <c r="I8" s="20"/>
      <c r="J8" s="20"/>
      <c r="K8" s="20"/>
      <c r="L8" s="21"/>
    </row>
    <row r="9" spans="1:12" ht="24" customHeight="1">
      <c r="A9" s="7" t="s">
        <v>24</v>
      </c>
      <c r="B9" s="8">
        <v>46236</v>
      </c>
      <c r="C9" s="7" t="s">
        <v>25</v>
      </c>
      <c r="D9" s="9">
        <v>125.5</v>
      </c>
      <c r="E9" s="7" t="s">
        <v>26</v>
      </c>
      <c r="F9" s="7" t="s">
        <v>27</v>
      </c>
      <c r="H9" s="22" t="s">
        <v>28</v>
      </c>
      <c r="I9" s="23"/>
      <c r="J9" s="23"/>
      <c r="K9" s="23"/>
      <c r="L9" s="24"/>
    </row>
    <row r="10" spans="1:12" ht="15">
      <c r="A10" s="1" t="s">
        <v>29</v>
      </c>
      <c r="B10" s="10">
        <v>46238</v>
      </c>
      <c r="C10" s="1" t="s">
        <v>30</v>
      </c>
      <c r="D10" s="11">
        <v>89.75</v>
      </c>
      <c r="E10" s="1" t="s">
        <v>26</v>
      </c>
      <c r="F10" s="1" t="s">
        <v>31</v>
      </c>
    </row>
    <row r="11" spans="1:12" ht="15">
      <c r="A11" s="7" t="s">
        <v>32</v>
      </c>
      <c r="B11" s="8">
        <v>46240</v>
      </c>
      <c r="C11" s="7" t="s">
        <v>33</v>
      </c>
      <c r="D11" s="9">
        <v>240</v>
      </c>
      <c r="E11" s="7" t="s">
        <v>34</v>
      </c>
      <c r="F11" s="7" t="s">
        <v>35</v>
      </c>
    </row>
    <row r="12" spans="1:12" ht="15">
      <c r="A12" s="1" t="s">
        <v>36</v>
      </c>
      <c r="B12" s="10">
        <v>46242</v>
      </c>
      <c r="C12" s="1" t="s">
        <v>37</v>
      </c>
      <c r="D12" s="11">
        <v>31.25</v>
      </c>
      <c r="E12" s="1" t="s">
        <v>26</v>
      </c>
      <c r="F12" s="1" t="s">
        <v>27</v>
      </c>
    </row>
    <row r="13" spans="1:12" ht="15">
      <c r="A13" s="7" t="s">
        <v>38</v>
      </c>
      <c r="B13" s="8">
        <v>46244</v>
      </c>
      <c r="C13" s="7" t="s">
        <v>39</v>
      </c>
      <c r="D13" s="9">
        <v>175</v>
      </c>
      <c r="E13" s="7" t="s">
        <v>34</v>
      </c>
      <c r="F13" s="7" t="s">
        <v>40</v>
      </c>
    </row>
    <row r="14" spans="1:12">
      <c r="A14" s="1"/>
      <c r="B14" s="1"/>
      <c r="C14" s="1"/>
      <c r="D14" s="1"/>
      <c r="E14" s="1"/>
      <c r="F14" s="1"/>
    </row>
    <row r="15" spans="1:12" ht="15">
      <c r="A15" s="1"/>
      <c r="B15" s="1"/>
      <c r="C15" s="12" t="s">
        <v>41</v>
      </c>
      <c r="D15" s="13">
        <f>SUM(D9:D13)</f>
        <v>661.5</v>
      </c>
      <c r="E15" s="1"/>
      <c r="F15" s="1"/>
    </row>
  </sheetData>
  <mergeCells count="3">
    <mergeCell ref="A1:F1"/>
    <mergeCell ref="A3:F3"/>
    <mergeCell ref="H2:K2"/>
  </mergeCells>
  <conditionalFormatting sqref="E9:E13">
    <cfRule type="expression" dxfId="4" priority="1">
      <formula>E9="Pending"</formula>
    </cfRule>
    <cfRule type="expression" dxfId="3" priority="2">
      <formula>E9="Processed"</formula>
    </cfRule>
  </conditionalFormatting>
  <pageMargins left="0.7" right="0.7" top="0.75" bottom="0.75" header="0.3" footer="0.3"/>
  <pageSetup paperSize="9" orientation="portrait" r:id="rId1"/>
  <headerFooter>
    <oddHeader>&amp;L&amp;"Times New Roman,Regular"&amp;14&amp;B&amp;K00C000Internal Use</oddHeader>
    <evenHeader>&amp;L&amp;"Times New Roman,Regular"&amp;14&amp;B&amp;K00C000Internal Use</evenHeader>
    <firstHeader>&amp;L&amp;"Times New Roman,Regular"&amp;14&amp;B&amp;K00C000Internal Use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D31"/>
  <sheetViews>
    <sheetView workbookViewId="0">
      <selection activeCell="H14" sqref="H14"/>
    </sheetView>
  </sheetViews>
  <sheetFormatPr defaultRowHeight="14.25"/>
  <cols>
    <col min="1" max="3" width="15" customWidth="1"/>
    <col min="4" max="4" width="18" customWidth="1"/>
    <col min="5" max="6" width="15" customWidth="1"/>
    <col min="7" max="7" width="20" customWidth="1"/>
    <col min="8" max="10" width="15" customWidth="1"/>
    <col min="11" max="11" width="18" customWidth="1"/>
    <col min="12" max="12" width="15" customWidth="1"/>
    <col min="13" max="13" width="20" customWidth="1"/>
    <col min="14" max="21" width="15" customWidth="1"/>
    <col min="22" max="22" width="21" customWidth="1"/>
    <col min="23" max="28" width="15" customWidth="1"/>
    <col min="29" max="30" width="23" customWidth="1"/>
  </cols>
  <sheetData>
    <row r="1" spans="1:30" ht="27.95" customHeight="1">
      <c r="A1" s="25" t="s">
        <v>42</v>
      </c>
      <c r="B1" s="25" t="s">
        <v>18</v>
      </c>
      <c r="C1" s="25" t="s">
        <v>43</v>
      </c>
      <c r="D1" s="25" t="s">
        <v>44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19</v>
      </c>
      <c r="N1" s="25" t="s">
        <v>53</v>
      </c>
      <c r="O1" s="25" t="s">
        <v>54</v>
      </c>
      <c r="P1" s="25" t="s">
        <v>55</v>
      </c>
      <c r="Q1" s="25" t="s">
        <v>56</v>
      </c>
      <c r="R1" s="25" t="s">
        <v>57</v>
      </c>
      <c r="S1" s="25" t="s">
        <v>58</v>
      </c>
      <c r="T1" s="25" t="s">
        <v>59</v>
      </c>
      <c r="U1" s="25" t="s">
        <v>60</v>
      </c>
      <c r="V1" s="25" t="s">
        <v>61</v>
      </c>
      <c r="W1" s="25" t="s">
        <v>62</v>
      </c>
      <c r="X1" s="25" t="s">
        <v>63</v>
      </c>
      <c r="Y1" s="25" t="s">
        <v>64</v>
      </c>
      <c r="Z1" s="25" t="s">
        <v>65</v>
      </c>
      <c r="AA1" s="25" t="s">
        <v>66</v>
      </c>
      <c r="AB1" s="25" t="s">
        <v>67</v>
      </c>
      <c r="AC1" s="25" t="s">
        <v>68</v>
      </c>
      <c r="AD1" s="25" t="s">
        <v>69</v>
      </c>
    </row>
    <row r="2" spans="1:30" ht="15">
      <c r="A2" s="1" t="s">
        <v>70</v>
      </c>
      <c r="B2" s="10">
        <v>46204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84</v>
      </c>
      <c r="Q2" s="1" t="s">
        <v>16</v>
      </c>
      <c r="R2" s="1" t="s">
        <v>85</v>
      </c>
      <c r="S2" s="1">
        <v>2</v>
      </c>
      <c r="T2" s="1" t="s">
        <v>86</v>
      </c>
      <c r="U2" s="11">
        <v>600</v>
      </c>
      <c r="V2" s="11">
        <v>0.38500000000000001</v>
      </c>
      <c r="W2" s="1" t="s">
        <v>86</v>
      </c>
      <c r="X2" s="26">
        <v>1200</v>
      </c>
      <c r="Y2" s="1" t="s">
        <v>87</v>
      </c>
      <c r="Z2" s="26">
        <v>60</v>
      </c>
      <c r="AA2" s="27">
        <v>0.05</v>
      </c>
      <c r="AB2" s="1" t="s">
        <v>86</v>
      </c>
      <c r="AC2" s="26">
        <v>1200</v>
      </c>
      <c r="AD2" s="26">
        <v>60</v>
      </c>
    </row>
    <row r="3" spans="1:30" ht="42" customHeight="1">
      <c r="A3" s="1" t="s">
        <v>70</v>
      </c>
      <c r="B3" s="10">
        <v>46205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75</v>
      </c>
      <c r="H3" s="1" t="s">
        <v>92</v>
      </c>
      <c r="I3" s="1" t="s">
        <v>93</v>
      </c>
      <c r="J3" s="1" t="s">
        <v>94</v>
      </c>
      <c r="K3" s="1" t="s">
        <v>95</v>
      </c>
      <c r="L3" s="1" t="s">
        <v>96</v>
      </c>
      <c r="M3" s="1" t="s">
        <v>97</v>
      </c>
      <c r="N3" s="1" t="s">
        <v>82</v>
      </c>
      <c r="O3" s="1" t="s">
        <v>98</v>
      </c>
      <c r="P3" s="1" t="s">
        <v>99</v>
      </c>
      <c r="Q3" s="1" t="s">
        <v>16</v>
      </c>
      <c r="R3" s="1" t="s">
        <v>100</v>
      </c>
      <c r="S3" s="1">
        <v>3</v>
      </c>
      <c r="T3" s="1" t="s">
        <v>86</v>
      </c>
      <c r="U3" s="11">
        <v>500</v>
      </c>
      <c r="V3" s="11">
        <v>0.38500000000000001</v>
      </c>
      <c r="W3" s="1" t="s">
        <v>86</v>
      </c>
      <c r="X3" s="26">
        <v>1500</v>
      </c>
      <c r="Y3" s="1" t="s">
        <v>87</v>
      </c>
      <c r="Z3" s="26">
        <v>75</v>
      </c>
      <c r="AA3" s="27">
        <v>0.05</v>
      </c>
      <c r="AB3" s="1" t="s">
        <v>86</v>
      </c>
      <c r="AC3" s="26">
        <v>1500</v>
      </c>
      <c r="AD3" s="26">
        <v>75</v>
      </c>
    </row>
    <row r="4" spans="1:30" ht="15">
      <c r="A4" s="1" t="s">
        <v>70</v>
      </c>
      <c r="B4" s="10">
        <v>46206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75</v>
      </c>
      <c r="H4" s="1" t="s">
        <v>76</v>
      </c>
      <c r="I4" s="1" t="s">
        <v>105</v>
      </c>
      <c r="J4" s="1" t="s">
        <v>106</v>
      </c>
      <c r="K4" s="1" t="s">
        <v>107</v>
      </c>
      <c r="L4" s="1" t="s">
        <v>108</v>
      </c>
      <c r="M4" s="1" t="s">
        <v>109</v>
      </c>
      <c r="N4" s="1" t="s">
        <v>82</v>
      </c>
      <c r="O4" s="1" t="s">
        <v>110</v>
      </c>
      <c r="P4" s="1" t="s">
        <v>111</v>
      </c>
      <c r="Q4" s="1" t="s">
        <v>16</v>
      </c>
      <c r="R4" s="1" t="s">
        <v>85</v>
      </c>
      <c r="S4" s="1">
        <v>4</v>
      </c>
      <c r="T4" s="1" t="s">
        <v>86</v>
      </c>
      <c r="U4" s="11">
        <v>450</v>
      </c>
      <c r="V4" s="11">
        <v>0.38500000000000001</v>
      </c>
      <c r="W4" s="1" t="s">
        <v>86</v>
      </c>
      <c r="X4" s="26">
        <v>1800</v>
      </c>
      <c r="Y4" s="1" t="s">
        <v>87</v>
      </c>
      <c r="Z4" s="26">
        <v>90</v>
      </c>
      <c r="AA4" s="27">
        <v>0.05</v>
      </c>
      <c r="AB4" s="1" t="s">
        <v>86</v>
      </c>
      <c r="AC4" s="26">
        <v>1800</v>
      </c>
      <c r="AD4" s="26">
        <v>90</v>
      </c>
    </row>
    <row r="5" spans="1:30" ht="15">
      <c r="A5" s="1" t="s">
        <v>70</v>
      </c>
      <c r="B5" s="10">
        <v>46207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75</v>
      </c>
      <c r="H5" s="1" t="s">
        <v>92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120</v>
      </c>
      <c r="N5" s="1" t="s">
        <v>82</v>
      </c>
      <c r="O5" s="1" t="s">
        <v>83</v>
      </c>
      <c r="P5" s="1" t="s">
        <v>121</v>
      </c>
      <c r="Q5" s="1" t="s">
        <v>16</v>
      </c>
      <c r="R5" s="1" t="s">
        <v>100</v>
      </c>
      <c r="S5" s="1">
        <v>5</v>
      </c>
      <c r="T5" s="1" t="s">
        <v>86</v>
      </c>
      <c r="U5" s="11">
        <v>420</v>
      </c>
      <c r="V5" s="11">
        <v>0.38500000000000001</v>
      </c>
      <c r="W5" s="1" t="s">
        <v>86</v>
      </c>
      <c r="X5" s="26">
        <v>2100</v>
      </c>
      <c r="Y5" s="1" t="s">
        <v>87</v>
      </c>
      <c r="Z5" s="26">
        <v>105</v>
      </c>
      <c r="AA5" s="27">
        <v>0.05</v>
      </c>
      <c r="AB5" s="1" t="s">
        <v>86</v>
      </c>
      <c r="AC5" s="26">
        <v>2100</v>
      </c>
      <c r="AD5" s="26">
        <v>105</v>
      </c>
    </row>
    <row r="6" spans="1:30" ht="15">
      <c r="A6" s="1" t="s">
        <v>70</v>
      </c>
      <c r="B6" s="10">
        <v>46208</v>
      </c>
      <c r="C6" s="1" t="s">
        <v>122</v>
      </c>
      <c r="D6" s="1" t="s">
        <v>123</v>
      </c>
      <c r="E6" s="1" t="s">
        <v>124</v>
      </c>
      <c r="F6" s="1" t="s">
        <v>125</v>
      </c>
      <c r="G6" s="1" t="s">
        <v>75</v>
      </c>
      <c r="H6" s="1" t="s">
        <v>76</v>
      </c>
      <c r="I6" s="1" t="s">
        <v>126</v>
      </c>
      <c r="J6" s="1" t="s">
        <v>78</v>
      </c>
      <c r="K6" s="1" t="s">
        <v>127</v>
      </c>
      <c r="L6" s="1" t="s">
        <v>128</v>
      </c>
      <c r="M6" s="1" t="s">
        <v>81</v>
      </c>
      <c r="N6" s="1" t="s">
        <v>82</v>
      </c>
      <c r="O6" s="1" t="s">
        <v>98</v>
      </c>
      <c r="P6" s="1" t="s">
        <v>129</v>
      </c>
      <c r="Q6" s="1" t="s">
        <v>16</v>
      </c>
      <c r="R6" s="1" t="s">
        <v>85</v>
      </c>
      <c r="S6" s="1">
        <v>1</v>
      </c>
      <c r="T6" s="1" t="s">
        <v>86</v>
      </c>
      <c r="U6" s="11">
        <v>2400</v>
      </c>
      <c r="V6" s="11">
        <v>0.38500000000000001</v>
      </c>
      <c r="W6" s="1" t="s">
        <v>86</v>
      </c>
      <c r="X6" s="26">
        <v>2400</v>
      </c>
      <c r="Y6" s="1" t="s">
        <v>87</v>
      </c>
      <c r="Z6" s="26">
        <v>120</v>
      </c>
      <c r="AA6" s="27">
        <v>0.05</v>
      </c>
      <c r="AB6" s="1" t="s">
        <v>86</v>
      </c>
      <c r="AC6" s="26">
        <v>2400</v>
      </c>
      <c r="AD6" s="26">
        <v>120</v>
      </c>
    </row>
    <row r="7" spans="1:30" ht="15">
      <c r="A7" s="1" t="s">
        <v>70</v>
      </c>
      <c r="B7" s="10">
        <v>46209</v>
      </c>
      <c r="C7" s="1" t="s">
        <v>130</v>
      </c>
      <c r="D7" s="1" t="s">
        <v>131</v>
      </c>
      <c r="E7" s="1" t="s">
        <v>132</v>
      </c>
      <c r="F7" s="1" t="s">
        <v>133</v>
      </c>
      <c r="G7" s="1" t="s">
        <v>75</v>
      </c>
      <c r="H7" s="1" t="s">
        <v>92</v>
      </c>
      <c r="I7" s="1" t="s">
        <v>134</v>
      </c>
      <c r="J7" s="1" t="s">
        <v>94</v>
      </c>
      <c r="K7" s="1" t="s">
        <v>135</v>
      </c>
      <c r="L7" s="1" t="s">
        <v>136</v>
      </c>
      <c r="M7" s="1" t="s">
        <v>97</v>
      </c>
      <c r="N7" s="1" t="s">
        <v>82</v>
      </c>
      <c r="O7" s="1" t="s">
        <v>110</v>
      </c>
      <c r="P7" s="1" t="s">
        <v>137</v>
      </c>
      <c r="Q7" s="1" t="s">
        <v>16</v>
      </c>
      <c r="R7" s="1" t="s">
        <v>100</v>
      </c>
      <c r="S7" s="1">
        <v>2</v>
      </c>
      <c r="T7" s="1" t="s">
        <v>86</v>
      </c>
      <c r="U7" s="11">
        <v>1350</v>
      </c>
      <c r="V7" s="11">
        <v>0.38500000000000001</v>
      </c>
      <c r="W7" s="1" t="s">
        <v>86</v>
      </c>
      <c r="X7" s="26">
        <v>2700</v>
      </c>
      <c r="Y7" s="1" t="s">
        <v>87</v>
      </c>
      <c r="Z7" s="26">
        <v>135</v>
      </c>
      <c r="AA7" s="27">
        <v>0.05</v>
      </c>
      <c r="AB7" s="1" t="s">
        <v>86</v>
      </c>
      <c r="AC7" s="26">
        <v>2700</v>
      </c>
      <c r="AD7" s="26">
        <v>135</v>
      </c>
    </row>
    <row r="8" spans="1:30" ht="15">
      <c r="A8" s="1" t="s">
        <v>70</v>
      </c>
      <c r="B8" s="10">
        <v>46210</v>
      </c>
      <c r="C8" s="1" t="s">
        <v>138</v>
      </c>
      <c r="D8" s="1" t="s">
        <v>139</v>
      </c>
      <c r="E8" s="1" t="s">
        <v>140</v>
      </c>
      <c r="F8" s="1" t="s">
        <v>141</v>
      </c>
      <c r="G8" s="1" t="s">
        <v>75</v>
      </c>
      <c r="H8" s="1" t="s">
        <v>76</v>
      </c>
      <c r="I8" s="1" t="s">
        <v>142</v>
      </c>
      <c r="J8" s="1" t="s">
        <v>106</v>
      </c>
      <c r="K8" s="1" t="s">
        <v>143</v>
      </c>
      <c r="L8" s="1" t="s">
        <v>144</v>
      </c>
      <c r="M8" s="1" t="s">
        <v>109</v>
      </c>
      <c r="N8" s="1" t="s">
        <v>82</v>
      </c>
      <c r="O8" s="1" t="s">
        <v>83</v>
      </c>
      <c r="P8" s="1" t="s">
        <v>84</v>
      </c>
      <c r="Q8" s="1" t="s">
        <v>15</v>
      </c>
      <c r="R8" s="1" t="s">
        <v>85</v>
      </c>
      <c r="S8" s="1">
        <v>3</v>
      </c>
      <c r="T8" s="1" t="s">
        <v>86</v>
      </c>
      <c r="U8" s="11">
        <v>333.33300000000003</v>
      </c>
      <c r="V8" s="11">
        <v>0.38500000000000001</v>
      </c>
      <c r="W8" s="1" t="s">
        <v>86</v>
      </c>
      <c r="X8" s="26">
        <v>1000</v>
      </c>
      <c r="Y8" s="1" t="s">
        <v>87</v>
      </c>
      <c r="Z8" s="26">
        <v>50</v>
      </c>
      <c r="AA8" s="27">
        <v>0.05</v>
      </c>
      <c r="AB8" s="1" t="s">
        <v>86</v>
      </c>
      <c r="AC8" s="26">
        <v>1000</v>
      </c>
      <c r="AD8" s="26">
        <v>50</v>
      </c>
    </row>
    <row r="9" spans="1:30" ht="15">
      <c r="A9" s="1" t="s">
        <v>70</v>
      </c>
      <c r="B9" s="10">
        <v>46211</v>
      </c>
      <c r="C9" s="1" t="s">
        <v>145</v>
      </c>
      <c r="D9" s="1" t="s">
        <v>146</v>
      </c>
      <c r="E9" s="1" t="s">
        <v>147</v>
      </c>
      <c r="F9" s="1" t="s">
        <v>148</v>
      </c>
      <c r="G9" s="1" t="s">
        <v>75</v>
      </c>
      <c r="H9" s="1" t="s">
        <v>92</v>
      </c>
      <c r="I9" s="1" t="s">
        <v>149</v>
      </c>
      <c r="J9" s="1" t="s">
        <v>117</v>
      </c>
      <c r="K9" s="1" t="s">
        <v>150</v>
      </c>
      <c r="L9" s="1" t="s">
        <v>151</v>
      </c>
      <c r="M9" s="1" t="s">
        <v>120</v>
      </c>
      <c r="N9" s="1" t="s">
        <v>82</v>
      </c>
      <c r="O9" s="1" t="s">
        <v>98</v>
      </c>
      <c r="P9" s="1" t="s">
        <v>99</v>
      </c>
      <c r="Q9" s="1" t="s">
        <v>15</v>
      </c>
      <c r="R9" s="1" t="s">
        <v>100</v>
      </c>
      <c r="S9" s="1">
        <v>4</v>
      </c>
      <c r="T9" s="1" t="s">
        <v>86</v>
      </c>
      <c r="U9" s="11">
        <v>325</v>
      </c>
      <c r="V9" s="11">
        <v>0.38500000000000001</v>
      </c>
      <c r="W9" s="1" t="s">
        <v>86</v>
      </c>
      <c r="X9" s="26">
        <v>1300</v>
      </c>
      <c r="Y9" s="1" t="s">
        <v>87</v>
      </c>
      <c r="Z9" s="26">
        <v>65</v>
      </c>
      <c r="AA9" s="27">
        <v>0.05</v>
      </c>
      <c r="AB9" s="1" t="s">
        <v>86</v>
      </c>
      <c r="AC9" s="26">
        <v>1300</v>
      </c>
      <c r="AD9" s="26">
        <v>65</v>
      </c>
    </row>
    <row r="10" spans="1:30" ht="15">
      <c r="A10" s="1" t="s">
        <v>70</v>
      </c>
      <c r="B10" s="10">
        <v>46212</v>
      </c>
      <c r="C10" s="1" t="s">
        <v>152</v>
      </c>
      <c r="D10" s="1" t="s">
        <v>153</v>
      </c>
      <c r="E10" s="1" t="s">
        <v>154</v>
      </c>
      <c r="F10" s="1" t="s">
        <v>155</v>
      </c>
      <c r="G10" s="1" t="s">
        <v>75</v>
      </c>
      <c r="H10" s="1" t="s">
        <v>76</v>
      </c>
      <c r="I10" s="1" t="s">
        <v>156</v>
      </c>
      <c r="J10" s="1" t="s">
        <v>78</v>
      </c>
      <c r="K10" s="1" t="s">
        <v>157</v>
      </c>
      <c r="L10" s="1" t="s">
        <v>158</v>
      </c>
      <c r="M10" s="1" t="s">
        <v>81</v>
      </c>
      <c r="N10" s="1" t="s">
        <v>82</v>
      </c>
      <c r="O10" s="1" t="s">
        <v>110</v>
      </c>
      <c r="P10" s="1" t="s">
        <v>111</v>
      </c>
      <c r="Q10" s="1" t="s">
        <v>15</v>
      </c>
      <c r="R10" s="1" t="s">
        <v>85</v>
      </c>
      <c r="S10" s="1">
        <v>5</v>
      </c>
      <c r="T10" s="1" t="s">
        <v>86</v>
      </c>
      <c r="U10" s="11">
        <v>320</v>
      </c>
      <c r="V10" s="11">
        <v>0.38500000000000001</v>
      </c>
      <c r="W10" s="1" t="s">
        <v>86</v>
      </c>
      <c r="X10" s="26">
        <v>1600</v>
      </c>
      <c r="Y10" s="1" t="s">
        <v>87</v>
      </c>
      <c r="Z10" s="26">
        <v>80</v>
      </c>
      <c r="AA10" s="27">
        <v>0.05</v>
      </c>
      <c r="AB10" s="1" t="s">
        <v>86</v>
      </c>
      <c r="AC10" s="26">
        <v>1600</v>
      </c>
      <c r="AD10" s="26">
        <v>80</v>
      </c>
    </row>
    <row r="11" spans="1:30" ht="15">
      <c r="A11" s="1" t="s">
        <v>70</v>
      </c>
      <c r="B11" s="10">
        <v>46213</v>
      </c>
      <c r="C11" s="1" t="s">
        <v>159</v>
      </c>
      <c r="D11" s="1" t="s">
        <v>160</v>
      </c>
      <c r="E11" s="1" t="s">
        <v>161</v>
      </c>
      <c r="F11" s="1" t="s">
        <v>162</v>
      </c>
      <c r="G11" s="1" t="s">
        <v>75</v>
      </c>
      <c r="H11" s="1" t="s">
        <v>92</v>
      </c>
      <c r="I11" s="1" t="s">
        <v>163</v>
      </c>
      <c r="J11" s="1" t="s">
        <v>94</v>
      </c>
      <c r="K11" s="1" t="s">
        <v>164</v>
      </c>
      <c r="L11" s="1" t="s">
        <v>165</v>
      </c>
      <c r="M11" s="1" t="s">
        <v>97</v>
      </c>
      <c r="N11" s="1" t="s">
        <v>82</v>
      </c>
      <c r="O11" s="1" t="s">
        <v>83</v>
      </c>
      <c r="P11" s="1" t="s">
        <v>121</v>
      </c>
      <c r="Q11" s="1" t="s">
        <v>15</v>
      </c>
      <c r="R11" s="1" t="s">
        <v>100</v>
      </c>
      <c r="S11" s="1">
        <v>1</v>
      </c>
      <c r="T11" s="1" t="s">
        <v>86</v>
      </c>
      <c r="U11" s="11">
        <v>1900</v>
      </c>
      <c r="V11" s="11">
        <v>0.38500000000000001</v>
      </c>
      <c r="W11" s="1" t="s">
        <v>86</v>
      </c>
      <c r="X11" s="26">
        <v>1900</v>
      </c>
      <c r="Y11" s="1" t="s">
        <v>87</v>
      </c>
      <c r="Z11" s="26">
        <v>95</v>
      </c>
      <c r="AA11" s="27">
        <v>0.05</v>
      </c>
      <c r="AB11" s="1" t="s">
        <v>86</v>
      </c>
      <c r="AC11" s="26">
        <v>1900</v>
      </c>
      <c r="AD11" s="26">
        <v>95</v>
      </c>
    </row>
    <row r="12" spans="1:30" ht="15">
      <c r="A12" s="1" t="s">
        <v>70</v>
      </c>
      <c r="B12" s="10">
        <v>46214</v>
      </c>
      <c r="C12" s="1" t="s">
        <v>166</v>
      </c>
      <c r="D12" s="1" t="s">
        <v>167</v>
      </c>
      <c r="E12" s="1" t="s">
        <v>168</v>
      </c>
      <c r="F12" s="1" t="s">
        <v>169</v>
      </c>
      <c r="G12" s="1" t="s">
        <v>75</v>
      </c>
      <c r="H12" s="1" t="s">
        <v>76</v>
      </c>
      <c r="I12" s="1" t="s">
        <v>170</v>
      </c>
      <c r="J12" s="1" t="s">
        <v>106</v>
      </c>
      <c r="K12" s="1" t="s">
        <v>171</v>
      </c>
      <c r="L12" s="1" t="s">
        <v>172</v>
      </c>
      <c r="M12" s="1" t="s">
        <v>109</v>
      </c>
      <c r="N12" s="1" t="s">
        <v>82</v>
      </c>
      <c r="O12" s="1" t="s">
        <v>98</v>
      </c>
      <c r="P12" s="1" t="s">
        <v>129</v>
      </c>
      <c r="Q12" s="1" t="s">
        <v>15</v>
      </c>
      <c r="R12" s="1" t="s">
        <v>85</v>
      </c>
      <c r="S12" s="1">
        <v>2</v>
      </c>
      <c r="T12" s="1" t="s">
        <v>86</v>
      </c>
      <c r="U12" s="11">
        <v>1100</v>
      </c>
      <c r="V12" s="11">
        <v>0.38500000000000001</v>
      </c>
      <c r="W12" s="1" t="s">
        <v>86</v>
      </c>
      <c r="X12" s="26">
        <v>2200</v>
      </c>
      <c r="Y12" s="1" t="s">
        <v>87</v>
      </c>
      <c r="Z12" s="26">
        <v>110</v>
      </c>
      <c r="AA12" s="27">
        <v>0.05</v>
      </c>
      <c r="AB12" s="1" t="s">
        <v>86</v>
      </c>
      <c r="AC12" s="26">
        <v>2200</v>
      </c>
      <c r="AD12" s="26">
        <v>110</v>
      </c>
    </row>
    <row r="13" spans="1:30" ht="15">
      <c r="A13" s="1" t="s">
        <v>70</v>
      </c>
      <c r="B13" s="10">
        <v>46215</v>
      </c>
      <c r="C13" s="1" t="s">
        <v>173</v>
      </c>
      <c r="D13" s="1" t="s">
        <v>174</v>
      </c>
      <c r="E13" s="1" t="s">
        <v>175</v>
      </c>
      <c r="F13" s="1" t="s">
        <v>176</v>
      </c>
      <c r="G13" s="1" t="s">
        <v>75</v>
      </c>
      <c r="H13" s="1" t="s">
        <v>92</v>
      </c>
      <c r="I13" s="1" t="s">
        <v>177</v>
      </c>
      <c r="J13" s="1" t="s">
        <v>117</v>
      </c>
      <c r="K13" s="1" t="s">
        <v>178</v>
      </c>
      <c r="L13" s="1" t="s">
        <v>179</v>
      </c>
      <c r="M13" s="1" t="s">
        <v>120</v>
      </c>
      <c r="N13" s="1" t="s">
        <v>82</v>
      </c>
      <c r="O13" s="1" t="s">
        <v>110</v>
      </c>
      <c r="P13" s="1" t="s">
        <v>137</v>
      </c>
      <c r="Q13" s="1" t="s">
        <v>15</v>
      </c>
      <c r="R13" s="1" t="s">
        <v>100</v>
      </c>
      <c r="S13" s="1">
        <v>3</v>
      </c>
      <c r="T13" s="1" t="s">
        <v>86</v>
      </c>
      <c r="U13" s="11">
        <v>833.33299999999997</v>
      </c>
      <c r="V13" s="11">
        <v>0.38500000000000001</v>
      </c>
      <c r="W13" s="1" t="s">
        <v>86</v>
      </c>
      <c r="X13" s="26">
        <v>2500</v>
      </c>
      <c r="Y13" s="1" t="s">
        <v>87</v>
      </c>
      <c r="Z13" s="26">
        <v>125</v>
      </c>
      <c r="AA13" s="27">
        <v>0.05</v>
      </c>
      <c r="AB13" s="1" t="s">
        <v>86</v>
      </c>
      <c r="AC13" s="26">
        <v>2500</v>
      </c>
      <c r="AD13" s="26">
        <v>125</v>
      </c>
    </row>
    <row r="14" spans="1:30" ht="15">
      <c r="A14" s="1" t="s">
        <v>70</v>
      </c>
      <c r="B14" s="10">
        <v>46216</v>
      </c>
      <c r="C14" s="1" t="s">
        <v>180</v>
      </c>
      <c r="D14" s="1" t="s">
        <v>181</v>
      </c>
      <c r="E14" s="1" t="s">
        <v>182</v>
      </c>
      <c r="F14" s="1" t="s">
        <v>183</v>
      </c>
      <c r="G14" s="1" t="s">
        <v>75</v>
      </c>
      <c r="H14" s="1" t="s">
        <v>76</v>
      </c>
      <c r="I14" s="1" t="s">
        <v>184</v>
      </c>
      <c r="J14" s="1" t="s">
        <v>78</v>
      </c>
      <c r="K14" s="1" t="s">
        <v>185</v>
      </c>
      <c r="L14" s="1" t="s">
        <v>186</v>
      </c>
      <c r="M14" s="1" t="s">
        <v>81</v>
      </c>
      <c r="N14" s="1" t="s">
        <v>82</v>
      </c>
      <c r="O14" s="1" t="s">
        <v>83</v>
      </c>
      <c r="P14" s="1" t="s">
        <v>84</v>
      </c>
      <c r="Q14" s="1" t="s">
        <v>23</v>
      </c>
      <c r="R14" s="1" t="s">
        <v>85</v>
      </c>
      <c r="S14" s="1">
        <v>4</v>
      </c>
      <c r="T14" s="1" t="s">
        <v>86</v>
      </c>
      <c r="U14" s="11">
        <v>200</v>
      </c>
      <c r="V14" s="11">
        <v>0.38500000000000001</v>
      </c>
      <c r="W14" s="1" t="s">
        <v>86</v>
      </c>
      <c r="X14" s="26">
        <v>800</v>
      </c>
      <c r="Y14" s="1" t="s">
        <v>87</v>
      </c>
      <c r="Z14" s="26">
        <v>40</v>
      </c>
      <c r="AA14" s="27">
        <v>0.05</v>
      </c>
      <c r="AB14" s="1" t="s">
        <v>86</v>
      </c>
      <c r="AC14" s="26">
        <v>800</v>
      </c>
      <c r="AD14" s="26">
        <v>40</v>
      </c>
    </row>
    <row r="15" spans="1:30" ht="15">
      <c r="A15" s="1" t="s">
        <v>70</v>
      </c>
      <c r="B15" s="10">
        <v>46217</v>
      </c>
      <c r="C15" s="1" t="s">
        <v>187</v>
      </c>
      <c r="D15" s="1" t="s">
        <v>188</v>
      </c>
      <c r="E15" s="1" t="s">
        <v>189</v>
      </c>
      <c r="F15" s="1" t="s">
        <v>190</v>
      </c>
      <c r="G15" s="1" t="s">
        <v>75</v>
      </c>
      <c r="H15" s="1" t="s">
        <v>92</v>
      </c>
      <c r="I15" s="1" t="s">
        <v>191</v>
      </c>
      <c r="J15" s="1" t="s">
        <v>94</v>
      </c>
      <c r="K15" s="1" t="s">
        <v>192</v>
      </c>
      <c r="L15" s="1" t="s">
        <v>193</v>
      </c>
      <c r="M15" s="1" t="s">
        <v>97</v>
      </c>
      <c r="N15" s="1" t="s">
        <v>82</v>
      </c>
      <c r="O15" s="1" t="s">
        <v>98</v>
      </c>
      <c r="P15" s="1" t="s">
        <v>99</v>
      </c>
      <c r="Q15" s="1" t="s">
        <v>23</v>
      </c>
      <c r="R15" s="1" t="s">
        <v>100</v>
      </c>
      <c r="S15" s="1">
        <v>5</v>
      </c>
      <c r="T15" s="1" t="s">
        <v>86</v>
      </c>
      <c r="U15" s="11">
        <v>200</v>
      </c>
      <c r="V15" s="11">
        <v>0.38500000000000001</v>
      </c>
      <c r="W15" s="1" t="s">
        <v>86</v>
      </c>
      <c r="X15" s="26">
        <v>1000</v>
      </c>
      <c r="Y15" s="1" t="s">
        <v>87</v>
      </c>
      <c r="Z15" s="26">
        <v>50</v>
      </c>
      <c r="AA15" s="27">
        <v>0.05</v>
      </c>
      <c r="AB15" s="1" t="s">
        <v>86</v>
      </c>
      <c r="AC15" s="26">
        <v>1000</v>
      </c>
      <c r="AD15" s="26">
        <v>50</v>
      </c>
    </row>
    <row r="16" spans="1:30" ht="15">
      <c r="A16" s="1" t="s">
        <v>70</v>
      </c>
      <c r="B16" s="10">
        <v>46218</v>
      </c>
      <c r="C16" s="1" t="s">
        <v>194</v>
      </c>
      <c r="D16" s="1" t="s">
        <v>195</v>
      </c>
      <c r="E16" s="1" t="s">
        <v>196</v>
      </c>
      <c r="F16" s="1" t="s">
        <v>197</v>
      </c>
      <c r="G16" s="1" t="s">
        <v>75</v>
      </c>
      <c r="H16" s="1" t="s">
        <v>76</v>
      </c>
      <c r="I16" s="1" t="s">
        <v>198</v>
      </c>
      <c r="J16" s="1" t="s">
        <v>106</v>
      </c>
      <c r="K16" s="1" t="s">
        <v>199</v>
      </c>
      <c r="L16" s="1" t="s">
        <v>200</v>
      </c>
      <c r="M16" s="1" t="s">
        <v>109</v>
      </c>
      <c r="N16" s="1" t="s">
        <v>82</v>
      </c>
      <c r="O16" s="1" t="s">
        <v>110</v>
      </c>
      <c r="P16" s="1" t="s">
        <v>111</v>
      </c>
      <c r="Q16" s="1" t="s">
        <v>23</v>
      </c>
      <c r="R16" s="1" t="s">
        <v>85</v>
      </c>
      <c r="S16" s="1">
        <v>1</v>
      </c>
      <c r="T16" s="1" t="s">
        <v>86</v>
      </c>
      <c r="U16" s="11">
        <v>1200</v>
      </c>
      <c r="V16" s="11">
        <v>0.38500000000000001</v>
      </c>
      <c r="W16" s="1" t="s">
        <v>86</v>
      </c>
      <c r="X16" s="26">
        <v>1200</v>
      </c>
      <c r="Y16" s="1" t="s">
        <v>87</v>
      </c>
      <c r="Z16" s="26">
        <v>60</v>
      </c>
      <c r="AA16" s="27">
        <v>0.05</v>
      </c>
      <c r="AB16" s="1" t="s">
        <v>86</v>
      </c>
      <c r="AC16" s="26">
        <v>1200</v>
      </c>
      <c r="AD16" s="26">
        <v>60</v>
      </c>
    </row>
    <row r="17" spans="1:30" ht="15">
      <c r="A17" s="1" t="s">
        <v>70</v>
      </c>
      <c r="B17" s="10">
        <v>46219</v>
      </c>
      <c r="C17" s="1" t="s">
        <v>201</v>
      </c>
      <c r="D17" s="1" t="s">
        <v>202</v>
      </c>
      <c r="E17" s="1" t="s">
        <v>203</v>
      </c>
      <c r="F17" s="1" t="s">
        <v>204</v>
      </c>
      <c r="G17" s="1" t="s">
        <v>75</v>
      </c>
      <c r="H17" s="1" t="s">
        <v>92</v>
      </c>
      <c r="I17" s="1" t="s">
        <v>205</v>
      </c>
      <c r="J17" s="1" t="s">
        <v>117</v>
      </c>
      <c r="K17" s="1" t="s">
        <v>206</v>
      </c>
      <c r="L17" s="1" t="s">
        <v>207</v>
      </c>
      <c r="M17" s="1" t="s">
        <v>120</v>
      </c>
      <c r="N17" s="1" t="s">
        <v>82</v>
      </c>
      <c r="O17" s="1" t="s">
        <v>83</v>
      </c>
      <c r="P17" s="1" t="s">
        <v>121</v>
      </c>
      <c r="Q17" s="1" t="s">
        <v>23</v>
      </c>
      <c r="R17" s="1" t="s">
        <v>100</v>
      </c>
      <c r="S17" s="1">
        <v>2</v>
      </c>
      <c r="T17" s="1" t="s">
        <v>86</v>
      </c>
      <c r="U17" s="11">
        <v>700</v>
      </c>
      <c r="V17" s="11">
        <v>0.38500000000000001</v>
      </c>
      <c r="W17" s="1" t="s">
        <v>86</v>
      </c>
      <c r="X17" s="26">
        <v>1400</v>
      </c>
      <c r="Y17" s="1" t="s">
        <v>87</v>
      </c>
      <c r="Z17" s="26">
        <v>70</v>
      </c>
      <c r="AA17" s="27">
        <v>0.05</v>
      </c>
      <c r="AB17" s="1" t="s">
        <v>86</v>
      </c>
      <c r="AC17" s="26">
        <v>1400</v>
      </c>
      <c r="AD17" s="26">
        <v>70</v>
      </c>
    </row>
    <row r="18" spans="1:30" ht="15">
      <c r="A18" s="1" t="s">
        <v>70</v>
      </c>
      <c r="B18" s="10">
        <v>46220</v>
      </c>
      <c r="C18" s="1" t="s">
        <v>208</v>
      </c>
      <c r="D18" s="1" t="s">
        <v>209</v>
      </c>
      <c r="E18" s="1" t="s">
        <v>210</v>
      </c>
      <c r="F18" s="1" t="s">
        <v>211</v>
      </c>
      <c r="G18" s="1" t="s">
        <v>75</v>
      </c>
      <c r="H18" s="1" t="s">
        <v>76</v>
      </c>
      <c r="I18" s="1" t="s">
        <v>212</v>
      </c>
      <c r="J18" s="1" t="s">
        <v>78</v>
      </c>
      <c r="K18" s="1" t="s">
        <v>213</v>
      </c>
      <c r="L18" s="1" t="s">
        <v>214</v>
      </c>
      <c r="M18" s="1" t="s">
        <v>81</v>
      </c>
      <c r="N18" s="1" t="s">
        <v>82</v>
      </c>
      <c r="O18" s="1" t="s">
        <v>98</v>
      </c>
      <c r="P18" s="1" t="s">
        <v>129</v>
      </c>
      <c r="Q18" s="1" t="s">
        <v>23</v>
      </c>
      <c r="R18" s="1" t="s">
        <v>85</v>
      </c>
      <c r="S18" s="1">
        <v>3</v>
      </c>
      <c r="T18" s="1" t="s">
        <v>86</v>
      </c>
      <c r="U18" s="11">
        <v>533.33299999999997</v>
      </c>
      <c r="V18" s="11">
        <v>0.38500000000000001</v>
      </c>
      <c r="W18" s="1" t="s">
        <v>86</v>
      </c>
      <c r="X18" s="26">
        <v>1600</v>
      </c>
      <c r="Y18" s="1" t="s">
        <v>87</v>
      </c>
      <c r="Z18" s="26">
        <v>80</v>
      </c>
      <c r="AA18" s="27">
        <v>0.05</v>
      </c>
      <c r="AB18" s="1" t="s">
        <v>86</v>
      </c>
      <c r="AC18" s="26">
        <v>1600</v>
      </c>
      <c r="AD18" s="26">
        <v>80</v>
      </c>
    </row>
    <row r="19" spans="1:30" ht="15">
      <c r="A19" s="1" t="s">
        <v>70</v>
      </c>
      <c r="B19" s="10">
        <v>46221</v>
      </c>
      <c r="C19" s="1" t="s">
        <v>215</v>
      </c>
      <c r="D19" s="1" t="s">
        <v>216</v>
      </c>
      <c r="E19" s="1" t="s">
        <v>217</v>
      </c>
      <c r="F19" s="1" t="s">
        <v>218</v>
      </c>
      <c r="G19" s="1" t="s">
        <v>75</v>
      </c>
      <c r="H19" s="1" t="s">
        <v>92</v>
      </c>
      <c r="I19" s="1" t="s">
        <v>219</v>
      </c>
      <c r="J19" s="1" t="s">
        <v>94</v>
      </c>
      <c r="K19" s="1" t="s">
        <v>220</v>
      </c>
      <c r="L19" s="1" t="s">
        <v>221</v>
      </c>
      <c r="M19" s="1" t="s">
        <v>97</v>
      </c>
      <c r="N19" s="1" t="s">
        <v>82</v>
      </c>
      <c r="O19" s="1" t="s">
        <v>110</v>
      </c>
      <c r="P19" s="1" t="s">
        <v>137</v>
      </c>
      <c r="Q19" s="1" t="s">
        <v>23</v>
      </c>
      <c r="R19" s="1" t="s">
        <v>100</v>
      </c>
      <c r="S19" s="1">
        <v>4</v>
      </c>
      <c r="T19" s="1" t="s">
        <v>86</v>
      </c>
      <c r="U19" s="11">
        <v>450</v>
      </c>
      <c r="V19" s="11">
        <v>0.38500000000000001</v>
      </c>
      <c r="W19" s="1" t="s">
        <v>86</v>
      </c>
      <c r="X19" s="26">
        <v>1800</v>
      </c>
      <c r="Y19" s="1" t="s">
        <v>87</v>
      </c>
      <c r="Z19" s="26">
        <v>90</v>
      </c>
      <c r="AA19" s="27">
        <v>0.05</v>
      </c>
      <c r="AB19" s="1" t="s">
        <v>86</v>
      </c>
      <c r="AC19" s="26">
        <v>1800</v>
      </c>
      <c r="AD19" s="26">
        <v>90</v>
      </c>
    </row>
    <row r="20" spans="1:30" ht="15">
      <c r="A20" s="1" t="s">
        <v>70</v>
      </c>
      <c r="B20" s="10">
        <v>46222</v>
      </c>
      <c r="C20" s="1" t="s">
        <v>222</v>
      </c>
      <c r="D20" s="1" t="s">
        <v>223</v>
      </c>
      <c r="E20" s="1" t="s">
        <v>224</v>
      </c>
      <c r="F20" s="1" t="s">
        <v>225</v>
      </c>
      <c r="G20" s="1" t="s">
        <v>226</v>
      </c>
      <c r="H20" s="1" t="s">
        <v>76</v>
      </c>
      <c r="I20" s="1" t="s">
        <v>227</v>
      </c>
      <c r="J20" s="1" t="s">
        <v>106</v>
      </c>
      <c r="K20" s="1" t="s">
        <v>228</v>
      </c>
      <c r="L20" s="1" t="s">
        <v>229</v>
      </c>
      <c r="M20" s="1" t="s">
        <v>109</v>
      </c>
      <c r="N20" s="1" t="s">
        <v>82</v>
      </c>
      <c r="O20" s="1" t="s">
        <v>83</v>
      </c>
      <c r="P20" s="1" t="s">
        <v>84</v>
      </c>
      <c r="Q20" s="1" t="s">
        <v>16</v>
      </c>
      <c r="R20" s="1" t="s">
        <v>85</v>
      </c>
      <c r="S20" s="1">
        <v>5</v>
      </c>
      <c r="T20" s="1" t="s">
        <v>86</v>
      </c>
      <c r="U20" s="11">
        <v>620</v>
      </c>
      <c r="V20" s="11">
        <v>0.38500000000000001</v>
      </c>
      <c r="W20" s="1" t="s">
        <v>86</v>
      </c>
      <c r="X20" s="26">
        <v>3100</v>
      </c>
      <c r="Y20" s="1" t="s">
        <v>87</v>
      </c>
      <c r="Z20" s="26">
        <v>155</v>
      </c>
      <c r="AA20" s="27">
        <v>0.05</v>
      </c>
      <c r="AB20" s="1" t="s">
        <v>86</v>
      </c>
      <c r="AC20" s="26">
        <v>3100</v>
      </c>
      <c r="AD20" s="26">
        <v>155</v>
      </c>
    </row>
    <row r="21" spans="1:30" ht="15">
      <c r="A21" s="1" t="s">
        <v>70</v>
      </c>
      <c r="B21" s="10">
        <v>46223</v>
      </c>
      <c r="C21" s="1" t="s">
        <v>230</v>
      </c>
      <c r="D21" s="1" t="s">
        <v>231</v>
      </c>
      <c r="E21" s="1" t="s">
        <v>232</v>
      </c>
      <c r="F21" s="1" t="s">
        <v>233</v>
      </c>
      <c r="G21" s="1" t="s">
        <v>226</v>
      </c>
      <c r="H21" s="1" t="s">
        <v>92</v>
      </c>
      <c r="I21" s="1" t="s">
        <v>234</v>
      </c>
      <c r="J21" s="1" t="s">
        <v>117</v>
      </c>
      <c r="K21" s="1" t="s">
        <v>235</v>
      </c>
      <c r="L21" s="1" t="s">
        <v>236</v>
      </c>
      <c r="M21" s="1" t="s">
        <v>120</v>
      </c>
      <c r="N21" s="1" t="s">
        <v>82</v>
      </c>
      <c r="O21" s="1" t="s">
        <v>98</v>
      </c>
      <c r="P21" s="1" t="s">
        <v>99</v>
      </c>
      <c r="Q21" s="1" t="s">
        <v>15</v>
      </c>
      <c r="R21" s="1" t="s">
        <v>100</v>
      </c>
      <c r="S21" s="1">
        <v>1</v>
      </c>
      <c r="T21" s="1" t="s">
        <v>86</v>
      </c>
      <c r="U21" s="11">
        <v>2850</v>
      </c>
      <c r="V21" s="11">
        <v>0.38500000000000001</v>
      </c>
      <c r="W21" s="1" t="s">
        <v>86</v>
      </c>
      <c r="X21" s="26">
        <v>2850</v>
      </c>
      <c r="Y21" s="1" t="s">
        <v>87</v>
      </c>
      <c r="Z21" s="26">
        <v>142.5</v>
      </c>
      <c r="AA21" s="27">
        <v>0.05</v>
      </c>
      <c r="AB21" s="1" t="s">
        <v>86</v>
      </c>
      <c r="AC21" s="26">
        <v>2850</v>
      </c>
      <c r="AD21" s="26">
        <v>142.5</v>
      </c>
    </row>
    <row r="22" spans="1:30" ht="15">
      <c r="A22" s="1" t="s">
        <v>237</v>
      </c>
      <c r="B22" s="10">
        <v>46255</v>
      </c>
      <c r="C22" s="1" t="s">
        <v>238</v>
      </c>
      <c r="D22" s="1" t="s">
        <v>239</v>
      </c>
      <c r="E22" s="1" t="s">
        <v>240</v>
      </c>
      <c r="F22" s="1" t="s">
        <v>241</v>
      </c>
      <c r="G22" s="1" t="s">
        <v>226</v>
      </c>
      <c r="H22" s="1" t="s">
        <v>76</v>
      </c>
      <c r="I22" s="1" t="s">
        <v>242</v>
      </c>
      <c r="J22" s="1" t="s">
        <v>78</v>
      </c>
      <c r="K22" s="1" t="s">
        <v>243</v>
      </c>
      <c r="L22" s="1" t="s">
        <v>244</v>
      </c>
      <c r="M22" s="1" t="s">
        <v>81</v>
      </c>
      <c r="N22" s="1" t="s">
        <v>82</v>
      </c>
      <c r="O22" s="1" t="s">
        <v>110</v>
      </c>
      <c r="P22" s="1" t="s">
        <v>111</v>
      </c>
      <c r="Q22" s="1" t="s">
        <v>23</v>
      </c>
      <c r="R22" s="1" t="s">
        <v>85</v>
      </c>
      <c r="S22" s="1">
        <v>2</v>
      </c>
      <c r="T22" s="1" t="s">
        <v>86</v>
      </c>
      <c r="U22" s="11">
        <v>1300</v>
      </c>
      <c r="V22" s="11">
        <v>0.38500000000000001</v>
      </c>
      <c r="W22" s="1" t="s">
        <v>86</v>
      </c>
      <c r="X22" s="26">
        <v>2600</v>
      </c>
      <c r="Y22" s="1" t="s">
        <v>87</v>
      </c>
      <c r="Z22" s="26">
        <v>130</v>
      </c>
      <c r="AA22" s="27">
        <v>0.05</v>
      </c>
      <c r="AB22" s="1" t="s">
        <v>86</v>
      </c>
      <c r="AC22" s="26">
        <v>2600</v>
      </c>
      <c r="AD22" s="26">
        <v>130</v>
      </c>
    </row>
    <row r="23" spans="1:30" ht="15">
      <c r="A23" s="1" t="s">
        <v>237</v>
      </c>
      <c r="B23" s="10">
        <v>46256</v>
      </c>
      <c r="C23" s="1" t="s">
        <v>245</v>
      </c>
      <c r="D23" s="1" t="s">
        <v>246</v>
      </c>
      <c r="E23" s="1" t="s">
        <v>247</v>
      </c>
      <c r="F23" s="1" t="s">
        <v>248</v>
      </c>
      <c r="G23" s="1" t="s">
        <v>75</v>
      </c>
      <c r="H23" s="1" t="s">
        <v>92</v>
      </c>
      <c r="I23" s="1" t="s">
        <v>249</v>
      </c>
      <c r="J23" s="1" t="s">
        <v>94</v>
      </c>
      <c r="K23" s="1" t="s">
        <v>250</v>
      </c>
      <c r="L23" s="1" t="s">
        <v>251</v>
      </c>
      <c r="M23" s="1" t="s">
        <v>97</v>
      </c>
      <c r="N23" s="1" t="s">
        <v>82</v>
      </c>
      <c r="O23" s="1" t="s">
        <v>83</v>
      </c>
      <c r="P23" s="1" t="s">
        <v>121</v>
      </c>
      <c r="Q23" s="1" t="s">
        <v>16</v>
      </c>
      <c r="R23" s="1" t="s">
        <v>100</v>
      </c>
      <c r="S23" s="1">
        <v>3</v>
      </c>
      <c r="T23" s="1" t="s">
        <v>14</v>
      </c>
      <c r="U23" s="11">
        <v>326.66699999999997</v>
      </c>
      <c r="V23" s="11">
        <v>1</v>
      </c>
      <c r="W23" s="1" t="s">
        <v>14</v>
      </c>
      <c r="X23" s="26">
        <v>980</v>
      </c>
      <c r="Y23" s="1" t="s">
        <v>87</v>
      </c>
      <c r="Z23" s="26">
        <v>49</v>
      </c>
      <c r="AA23" s="27">
        <v>0.05</v>
      </c>
      <c r="AB23" s="1" t="s">
        <v>14</v>
      </c>
      <c r="AC23" s="26">
        <v>980</v>
      </c>
      <c r="AD23" s="26">
        <v>49</v>
      </c>
    </row>
    <row r="24" spans="1:30" ht="15">
      <c r="A24" s="1" t="s">
        <v>237</v>
      </c>
      <c r="B24" s="10">
        <v>46257</v>
      </c>
      <c r="C24" s="1" t="s">
        <v>252</v>
      </c>
      <c r="D24" s="1" t="s">
        <v>253</v>
      </c>
      <c r="E24" s="1" t="s">
        <v>254</v>
      </c>
      <c r="F24" s="1" t="s">
        <v>255</v>
      </c>
      <c r="G24" s="1" t="s">
        <v>75</v>
      </c>
      <c r="H24" s="1" t="s">
        <v>76</v>
      </c>
      <c r="I24" s="1" t="s">
        <v>256</v>
      </c>
      <c r="J24" s="1" t="s">
        <v>106</v>
      </c>
      <c r="K24" s="1" t="s">
        <v>257</v>
      </c>
      <c r="L24" s="1" t="s">
        <v>258</v>
      </c>
      <c r="M24" s="1" t="s">
        <v>109</v>
      </c>
      <c r="N24" s="1" t="s">
        <v>82</v>
      </c>
      <c r="O24" s="1" t="s">
        <v>98</v>
      </c>
      <c r="P24" s="1" t="s">
        <v>129</v>
      </c>
      <c r="Q24" s="1" t="s">
        <v>15</v>
      </c>
      <c r="R24" s="1" t="s">
        <v>85</v>
      </c>
      <c r="S24" s="1">
        <v>4</v>
      </c>
      <c r="T24" s="1" t="s">
        <v>14</v>
      </c>
      <c r="U24" s="11">
        <v>215</v>
      </c>
      <c r="V24" s="11">
        <v>1</v>
      </c>
      <c r="W24" s="1" t="s">
        <v>14</v>
      </c>
      <c r="X24" s="26">
        <v>860</v>
      </c>
      <c r="Y24" s="1" t="s">
        <v>87</v>
      </c>
      <c r="Z24" s="26">
        <v>43</v>
      </c>
      <c r="AA24" s="27">
        <v>0.05</v>
      </c>
      <c r="AB24" s="1" t="s">
        <v>14</v>
      </c>
      <c r="AC24" s="26">
        <v>860</v>
      </c>
      <c r="AD24" s="26">
        <v>43</v>
      </c>
    </row>
    <row r="25" spans="1:30" ht="15">
      <c r="A25" s="1" t="s">
        <v>237</v>
      </c>
      <c r="B25" s="10">
        <v>46258</v>
      </c>
      <c r="C25" s="1" t="s">
        <v>259</v>
      </c>
      <c r="D25" s="1" t="s">
        <v>260</v>
      </c>
      <c r="E25" s="1" t="s">
        <v>261</v>
      </c>
      <c r="F25" s="1" t="s">
        <v>262</v>
      </c>
      <c r="G25" s="1" t="s">
        <v>75</v>
      </c>
      <c r="H25" s="1" t="s">
        <v>92</v>
      </c>
      <c r="I25" s="1" t="s">
        <v>263</v>
      </c>
      <c r="J25" s="1" t="s">
        <v>117</v>
      </c>
      <c r="K25" s="1" t="s">
        <v>264</v>
      </c>
      <c r="L25" s="1" t="s">
        <v>265</v>
      </c>
      <c r="M25" s="1" t="s">
        <v>120</v>
      </c>
      <c r="N25" s="1" t="s">
        <v>82</v>
      </c>
      <c r="O25" s="1" t="s">
        <v>110</v>
      </c>
      <c r="P25" s="1" t="s">
        <v>137</v>
      </c>
      <c r="Q25" s="1" t="s">
        <v>23</v>
      </c>
      <c r="R25" s="1" t="s">
        <v>100</v>
      </c>
      <c r="S25" s="1">
        <v>5</v>
      </c>
      <c r="T25" s="1" t="s">
        <v>14</v>
      </c>
      <c r="U25" s="11">
        <v>148</v>
      </c>
      <c r="V25" s="11">
        <v>1</v>
      </c>
      <c r="W25" s="1" t="s">
        <v>14</v>
      </c>
      <c r="X25" s="26">
        <v>740</v>
      </c>
      <c r="Y25" s="1" t="s">
        <v>87</v>
      </c>
      <c r="Z25" s="26">
        <v>37</v>
      </c>
      <c r="AA25" s="27">
        <v>0.05</v>
      </c>
      <c r="AB25" s="1" t="s">
        <v>14</v>
      </c>
      <c r="AC25" s="26">
        <v>740</v>
      </c>
      <c r="AD25" s="26">
        <v>37</v>
      </c>
    </row>
    <row r="26" spans="1:30" ht="15">
      <c r="A26" s="1" t="s">
        <v>237</v>
      </c>
      <c r="B26" s="10">
        <v>46259</v>
      </c>
      <c r="C26" s="1" t="s">
        <v>266</v>
      </c>
      <c r="D26" s="1" t="s">
        <v>267</v>
      </c>
      <c r="E26" s="1" t="s">
        <v>268</v>
      </c>
      <c r="F26" s="1" t="s">
        <v>269</v>
      </c>
      <c r="G26" s="1" t="s">
        <v>226</v>
      </c>
      <c r="H26" s="1" t="s">
        <v>76</v>
      </c>
      <c r="I26" s="1" t="s">
        <v>270</v>
      </c>
      <c r="J26" s="1" t="s">
        <v>78</v>
      </c>
      <c r="K26" s="1" t="s">
        <v>271</v>
      </c>
      <c r="L26" s="1" t="s">
        <v>272</v>
      </c>
      <c r="M26" s="1" t="s">
        <v>81</v>
      </c>
      <c r="N26" s="1" t="s">
        <v>82</v>
      </c>
      <c r="O26" s="1" t="s">
        <v>83</v>
      </c>
      <c r="P26" s="1" t="s">
        <v>84</v>
      </c>
      <c r="Q26" s="1" t="s">
        <v>16</v>
      </c>
      <c r="R26" s="1" t="s">
        <v>85</v>
      </c>
      <c r="S26" s="1">
        <v>1</v>
      </c>
      <c r="T26" s="1" t="s">
        <v>14</v>
      </c>
      <c r="U26" s="11">
        <v>620</v>
      </c>
      <c r="V26" s="11">
        <v>1</v>
      </c>
      <c r="W26" s="1" t="s">
        <v>14</v>
      </c>
      <c r="X26" s="26">
        <v>620</v>
      </c>
      <c r="Y26" s="1" t="s">
        <v>87</v>
      </c>
      <c r="Z26" s="26">
        <v>31</v>
      </c>
      <c r="AA26" s="27">
        <v>0.05</v>
      </c>
      <c r="AB26" s="1" t="s">
        <v>14</v>
      </c>
      <c r="AC26" s="26">
        <v>620</v>
      </c>
      <c r="AD26" s="26">
        <v>31</v>
      </c>
    </row>
    <row r="27" spans="1:30" ht="15">
      <c r="A27" s="1" t="s">
        <v>237</v>
      </c>
      <c r="B27" s="10">
        <v>46260</v>
      </c>
      <c r="C27" s="1" t="s">
        <v>273</v>
      </c>
      <c r="D27" s="1" t="s">
        <v>274</v>
      </c>
      <c r="E27" s="1" t="s">
        <v>275</v>
      </c>
      <c r="F27" s="1" t="s">
        <v>276</v>
      </c>
      <c r="G27" s="1" t="s">
        <v>226</v>
      </c>
      <c r="H27" s="1" t="s">
        <v>92</v>
      </c>
      <c r="I27" s="1" t="s">
        <v>277</v>
      </c>
      <c r="J27" s="1" t="s">
        <v>94</v>
      </c>
      <c r="K27" s="1" t="s">
        <v>278</v>
      </c>
      <c r="L27" s="1" t="s">
        <v>279</v>
      </c>
      <c r="M27" s="1" t="s">
        <v>97</v>
      </c>
      <c r="N27" s="1" t="s">
        <v>82</v>
      </c>
      <c r="O27" s="1" t="s">
        <v>98</v>
      </c>
      <c r="P27" s="1" t="s">
        <v>99</v>
      </c>
      <c r="Q27" s="1" t="s">
        <v>15</v>
      </c>
      <c r="R27" s="1" t="s">
        <v>100</v>
      </c>
      <c r="S27" s="1">
        <v>2</v>
      </c>
      <c r="T27" s="1" t="s">
        <v>14</v>
      </c>
      <c r="U27" s="11">
        <v>285</v>
      </c>
      <c r="V27" s="11">
        <v>1</v>
      </c>
      <c r="W27" s="1" t="s">
        <v>14</v>
      </c>
      <c r="X27" s="26">
        <v>570</v>
      </c>
      <c r="Y27" s="1" t="s">
        <v>87</v>
      </c>
      <c r="Z27" s="26">
        <v>28.5</v>
      </c>
      <c r="AA27" s="27">
        <v>0.05</v>
      </c>
      <c r="AB27" s="1" t="s">
        <v>14</v>
      </c>
      <c r="AC27" s="26">
        <v>570</v>
      </c>
      <c r="AD27" s="26">
        <v>28.5</v>
      </c>
    </row>
    <row r="28" spans="1:30" ht="15">
      <c r="A28" s="1" t="s">
        <v>237</v>
      </c>
      <c r="B28" s="10">
        <v>46261</v>
      </c>
      <c r="C28" s="1" t="s">
        <v>280</v>
      </c>
      <c r="D28" s="1" t="s">
        <v>281</v>
      </c>
      <c r="E28" s="1" t="s">
        <v>282</v>
      </c>
      <c r="F28" s="1" t="s">
        <v>283</v>
      </c>
      <c r="G28" s="1" t="s">
        <v>226</v>
      </c>
      <c r="H28" s="1" t="s">
        <v>76</v>
      </c>
      <c r="I28" s="1" t="s">
        <v>284</v>
      </c>
      <c r="J28" s="1" t="s">
        <v>106</v>
      </c>
      <c r="K28" s="1" t="s">
        <v>285</v>
      </c>
      <c r="L28" s="1" t="s">
        <v>286</v>
      </c>
      <c r="M28" s="1" t="s">
        <v>109</v>
      </c>
      <c r="N28" s="1" t="s">
        <v>82</v>
      </c>
      <c r="O28" s="1" t="s">
        <v>110</v>
      </c>
      <c r="P28" s="1" t="s">
        <v>111</v>
      </c>
      <c r="Q28" s="1" t="s">
        <v>23</v>
      </c>
      <c r="R28" s="1" t="s">
        <v>85</v>
      </c>
      <c r="S28" s="1">
        <v>3</v>
      </c>
      <c r="T28" s="1" t="s">
        <v>14</v>
      </c>
      <c r="U28" s="11">
        <v>176.667</v>
      </c>
      <c r="V28" s="11">
        <v>1</v>
      </c>
      <c r="W28" s="1" t="s">
        <v>14</v>
      </c>
      <c r="X28" s="26">
        <v>530</v>
      </c>
      <c r="Y28" s="1" t="s">
        <v>87</v>
      </c>
      <c r="Z28" s="26">
        <v>26.5</v>
      </c>
      <c r="AA28" s="27">
        <v>0.05</v>
      </c>
      <c r="AB28" s="1" t="s">
        <v>14</v>
      </c>
      <c r="AC28" s="26">
        <v>530</v>
      </c>
      <c r="AD28" s="26">
        <v>26.5</v>
      </c>
    </row>
    <row r="29" spans="1:30" ht="15">
      <c r="A29" s="1" t="s">
        <v>237</v>
      </c>
      <c r="B29" s="10">
        <v>46262</v>
      </c>
      <c r="C29" s="1" t="s">
        <v>287</v>
      </c>
      <c r="D29" s="1" t="s">
        <v>288</v>
      </c>
      <c r="E29" s="1" t="s">
        <v>289</v>
      </c>
      <c r="F29" s="1" t="s">
        <v>290</v>
      </c>
      <c r="G29" s="1" t="s">
        <v>75</v>
      </c>
      <c r="H29" s="1" t="s">
        <v>92</v>
      </c>
      <c r="I29" s="1" t="s">
        <v>291</v>
      </c>
      <c r="J29" s="1" t="s">
        <v>117</v>
      </c>
      <c r="K29" s="1" t="s">
        <v>292</v>
      </c>
      <c r="L29" s="1" t="s">
        <v>293</v>
      </c>
      <c r="M29" s="1" t="s">
        <v>120</v>
      </c>
      <c r="N29" s="1" t="s">
        <v>82</v>
      </c>
      <c r="O29" s="1" t="s">
        <v>83</v>
      </c>
      <c r="P29" s="1" t="s">
        <v>121</v>
      </c>
      <c r="Q29" s="1" t="s">
        <v>16</v>
      </c>
      <c r="R29" s="1" t="s">
        <v>100</v>
      </c>
      <c r="S29" s="1">
        <v>4</v>
      </c>
      <c r="T29" s="1" t="s">
        <v>14</v>
      </c>
      <c r="U29" s="11">
        <v>280</v>
      </c>
      <c r="V29" s="11">
        <v>1</v>
      </c>
      <c r="W29" s="1" t="s">
        <v>14</v>
      </c>
      <c r="X29" s="26">
        <v>1120</v>
      </c>
      <c r="Y29" s="1" t="s">
        <v>87</v>
      </c>
      <c r="Z29" s="26">
        <v>56</v>
      </c>
      <c r="AA29" s="27">
        <v>0.05</v>
      </c>
      <c r="AB29" s="1" t="s">
        <v>14</v>
      </c>
      <c r="AC29" s="26">
        <v>1120</v>
      </c>
      <c r="AD29" s="26">
        <v>56</v>
      </c>
    </row>
    <row r="30" spans="1:30" ht="15">
      <c r="A30" s="1" t="s">
        <v>237</v>
      </c>
      <c r="B30" s="10">
        <v>46235</v>
      </c>
      <c r="C30" s="1" t="s">
        <v>294</v>
      </c>
      <c r="D30" s="1" t="s">
        <v>295</v>
      </c>
      <c r="E30" s="1" t="s">
        <v>296</v>
      </c>
      <c r="F30" s="1" t="s">
        <v>297</v>
      </c>
      <c r="G30" s="1" t="s">
        <v>75</v>
      </c>
      <c r="H30" s="1" t="s">
        <v>76</v>
      </c>
      <c r="I30" s="1" t="s">
        <v>298</v>
      </c>
      <c r="J30" s="1" t="s">
        <v>78</v>
      </c>
      <c r="K30" s="1" t="s">
        <v>299</v>
      </c>
      <c r="L30" s="1" t="s">
        <v>300</v>
      </c>
      <c r="M30" s="1" t="s">
        <v>81</v>
      </c>
      <c r="N30" s="1" t="s">
        <v>82</v>
      </c>
      <c r="O30" s="1" t="s">
        <v>98</v>
      </c>
      <c r="P30" s="1" t="s">
        <v>129</v>
      </c>
      <c r="Q30" s="1" t="s">
        <v>15</v>
      </c>
      <c r="R30" s="1" t="s">
        <v>85</v>
      </c>
      <c r="S30" s="1">
        <v>5</v>
      </c>
      <c r="T30" s="1" t="s">
        <v>14</v>
      </c>
      <c r="U30" s="11">
        <v>198</v>
      </c>
      <c r="V30" s="11">
        <v>1</v>
      </c>
      <c r="W30" s="1" t="s">
        <v>14</v>
      </c>
      <c r="X30" s="26">
        <v>990</v>
      </c>
      <c r="Y30" s="1" t="s">
        <v>87</v>
      </c>
      <c r="Z30" s="26">
        <v>49.5</v>
      </c>
      <c r="AA30" s="27">
        <v>0.05</v>
      </c>
      <c r="AB30" s="1" t="s">
        <v>14</v>
      </c>
      <c r="AC30" s="26">
        <v>990</v>
      </c>
      <c r="AD30" s="26">
        <v>49.5</v>
      </c>
    </row>
    <row r="31" spans="1:30" ht="15">
      <c r="A31" s="1" t="s">
        <v>237</v>
      </c>
      <c r="B31" s="10">
        <v>46236</v>
      </c>
      <c r="C31" s="1" t="s">
        <v>301</v>
      </c>
      <c r="D31" s="1" t="s">
        <v>302</v>
      </c>
      <c r="E31" s="1" t="s">
        <v>303</v>
      </c>
      <c r="F31" s="1" t="s">
        <v>304</v>
      </c>
      <c r="G31" s="1" t="s">
        <v>75</v>
      </c>
      <c r="H31" s="1" t="s">
        <v>92</v>
      </c>
      <c r="I31" s="1" t="s">
        <v>305</v>
      </c>
      <c r="J31" s="1" t="s">
        <v>94</v>
      </c>
      <c r="K31" s="1" t="s">
        <v>306</v>
      </c>
      <c r="L31" s="1" t="s">
        <v>307</v>
      </c>
      <c r="M31" s="1" t="s">
        <v>97</v>
      </c>
      <c r="N31" s="1" t="s">
        <v>82</v>
      </c>
      <c r="O31" s="1" t="s">
        <v>110</v>
      </c>
      <c r="P31" s="1" t="s">
        <v>137</v>
      </c>
      <c r="Q31" s="1" t="s">
        <v>23</v>
      </c>
      <c r="R31" s="1" t="s">
        <v>100</v>
      </c>
      <c r="S31" s="1">
        <v>1</v>
      </c>
      <c r="T31" s="1" t="s">
        <v>14</v>
      </c>
      <c r="U31" s="11">
        <v>880</v>
      </c>
      <c r="V31" s="11">
        <v>1</v>
      </c>
      <c r="W31" s="1" t="s">
        <v>14</v>
      </c>
      <c r="X31" s="26">
        <v>880</v>
      </c>
      <c r="Y31" s="1" t="s">
        <v>87</v>
      </c>
      <c r="Z31" s="26">
        <v>44</v>
      </c>
      <c r="AA31" s="27">
        <v>0.05</v>
      </c>
      <c r="AB31" s="1" t="s">
        <v>14</v>
      </c>
      <c r="AC31" s="26">
        <v>880</v>
      </c>
      <c r="AD31" s="26">
        <v>44</v>
      </c>
    </row>
  </sheetData>
  <conditionalFormatting sqref="Q2:Q31">
    <cfRule type="expression" dxfId="2" priority="1">
      <formula>Q2="ACQR"</formula>
    </cfRule>
    <cfRule type="expression" dxfId="1" priority="2">
      <formula>Q2="ISSR"</formula>
    </cfRule>
    <cfRule type="expression" dxfId="0" priority="3">
      <formula>Q2="Both"</formula>
    </cfRule>
  </conditionalFormatting>
  <pageMargins left="0.7" right="0.7" top="0.75" bottom="0.75" header="0.3" footer="0.3"/>
  <pageSetup paperSize="9" orientation="portrait" r:id="rId1"/>
  <headerFooter>
    <oddHeader>&amp;L&amp;"Times New Roman,Regular"&amp;14&amp;B&amp;K00C000Internal Use</oddHeader>
    <evenHeader>&amp;L&amp;"Times New Roman,Regular"&amp;14&amp;B&amp;K00C000Internal Use</evenHeader>
    <firstHeader>&amp;L&amp;"Times New Roman,Regular"&amp;14&amp;B&amp;K00C000Internal Use</first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d63317ac-592c-4a5b-8c2e-b8b48204cf28" value=""/>
</sisl>
</file>

<file path=customXml/itemProps1.xml><?xml version="1.0" encoding="utf-8"?>
<ds:datastoreItem xmlns:ds="http://schemas.openxmlformats.org/officeDocument/2006/customXml" ds:itemID="{B7983EAA-4F13-4ADA-BD2E-BE8AB748ED4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Register</vt:lpstr>
      <vt:lpstr>Billing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Raunaq Mohamed Ali Al Harthi</cp:lastModifiedBy>
  <dcterms:modified xsi:type="dcterms:W3CDTF">2026-08-12T09:43:57Z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cd0e23a3-6f8e-4431-a2b7-6f324bf9e2c3</vt:lpwstr>
  </property>
  <property fmtid="{D5CDD505-2E9C-101B-9397-08002B2CF9AE}" pid="3" name="bjSaver">
    <vt:lpwstr>Pf79MbDG2Jqtk5Ec/YHWAzhnRYcKhZZF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uid="d63317ac-592c-4a5b-8c2e-b8b48204cf28" value="" /&gt;&lt;/sisl&gt;</vt:lpwstr>
  </property>
  <property fmtid="{D5CDD505-2E9C-101B-9397-08002B2CF9AE}" pid="6" name="bjDocumentSecurityLabel">
    <vt:lpwstr>INTERNAL USE</vt:lpwstr>
  </property>
  <property fmtid="{D5CDD505-2E9C-101B-9397-08002B2CF9AE}" pid="7" name="bjLeftHeaderLabel-first">
    <vt:lpwstr>&amp;"Times New Roman,Regular"&amp;14&amp;B&amp;K00C000Internal Use</vt:lpwstr>
  </property>
  <property fmtid="{D5CDD505-2E9C-101B-9397-08002B2CF9AE}" pid="8" name="bjLeftHeaderLabel-even">
    <vt:lpwstr>&amp;"Times New Roman,Regular"&amp;14&amp;B&amp;K00C000Internal Use</vt:lpwstr>
  </property>
  <property fmtid="{D5CDD505-2E9C-101B-9397-08002B2CF9AE}" pid="9" name="bjLeftHeaderLabel">
    <vt:lpwstr>&amp;"Times New Roman,Regular"&amp;14&amp;B&amp;K00C000Internal Use</vt:lpwstr>
  </property>
</Properties>
</file>